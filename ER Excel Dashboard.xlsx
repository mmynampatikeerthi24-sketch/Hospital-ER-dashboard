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a57525d4eee1eed8/Documents/"/>
    </mc:Choice>
  </mc:AlternateContent>
  <xr:revisionPtr revIDLastSave="4" documentId="8_{CC8B7D60-0DF4-46A0-B276-C6E59D42A475}" xr6:coauthVersionLast="47" xr6:coauthVersionMax="47" xr10:uidLastSave="{DB51534D-F765-4EEF-B287-FDEBE9489D73}"/>
  <bookViews>
    <workbookView xWindow="2196" yWindow="2196" windowWidth="17280" windowHeight="8880" activeTab="2" xr2:uid="{B728BDBE-DF7D-4B4C-BD11-38E994463AC4}"/>
  </bookViews>
  <sheets>
    <sheet name="Sheet4" sheetId="4" r:id="rId1"/>
    <sheet name="Sheet5" sheetId="8" r:id="rId2"/>
    <sheet name="Sheet6" sheetId="9" r:id="rId3"/>
    <sheet name="Pivot report" sheetId="1" r:id="rId4"/>
    <sheet name="Dashboard" sheetId="2" r:id="rId5"/>
    <sheet name="Average wait time daily trend" sheetId="5" r:id="rId6"/>
    <sheet name="Daily ER No.of patients" sheetId="3" r:id="rId7"/>
    <sheet name="Satisfaction score daily trends" sheetId="6" r:id="rId8"/>
  </sheets>
  <definedNames>
    <definedName name="ExternalData_1" localSheetId="0" hidden="1">Sheet4!$A$3:$M$22</definedName>
    <definedName name="ExternalData_1" localSheetId="1" hidden="1">Sheet5!$A$3:$M$79</definedName>
    <definedName name="ExternalData_1" localSheetId="2" hidden="1">Sheet6!$A$3:$M$319</definedName>
    <definedName name="Slicer_Date__Month">#N/A</definedName>
    <definedName name="Slicer_Date__Yea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e8dea04-fb0c-40af-ad0f-837cd60e5be9" name="Hospital Emergency Room Data" connection="Query - Hospital Emergency Room Data"/>
          <x15:modelTable id="Calendar_table_d1b661a4-e7e3-4f5e-a2a9-870790bc70f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0" i="1" l="1"/>
  <c r="C39" i="1"/>
  <c r="B40" i="1"/>
  <c r="B39" i="1"/>
  <c r="A39" i="1"/>
  <c r="A4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C0599A-6067-45B0-B45E-3D0D01B97D45}" keepAlive="1" name="ModelConnection_ExternalData_1" description="Data Model" type="5" refreshedVersion="8" minRefreshableVersion="5" saveData="1">
    <dbPr connection="Data Model Connection" command="DRILLTHROUGH MAXROWS 1000 SELECT FROM [Model] WHERE (([Calendar_table].[Date (Month)].&amp;[Mar],[Measures].[Distinct Count of Patient Id],[Calendar_table].[Date (Day)].&amp;[1-Mar])) RETURN [$Hospital Emergency Room Data].[Patient Id],[$Hospital Emergency Room Data].[Patient Admission Date],[$Hospital Emergency Room Data].[Patient Admission Time],[$Hospital Emergency Room Data].[Full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D9455AAB-8479-4C30-830E-942B1EDBD2AC}" keepAlive="1" name="ModelConnection_ExternalData_11" description="Data Model" type="5" refreshedVersion="8" minRefreshableVersion="5" saveData="1">
    <dbPr connection="Data Model Connection" command="DRILLTHROUGH MAXROWS 1000 SELECT FROM [Model] WHERE (([Calendar_table].[Date (Month)].&amp;[Jan],[Measures].[Count of Age Group],[Hospital Emergency Room Data].[Age Group].&amp;[0-09])) RETURN [$Hospital Emergency Room Data].[Patient Id],[$Hospital Emergency Room Data].[Patient Admission Date],[$Hospital Emergency Room Data].[Patient Admission Time],[$Hospital Emergency Room Data].[Full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8D8B27F2-6FD6-46FE-BB40-8478E3D2BCAA}" keepAlive="1" name="ModelConnection_ExternalData_12" description="Data Model" type="5" refreshedVersion="8" minRefreshableVersion="5" saveData="1">
    <dbPr connection="Data Model Connection" command="DRILLTHROUGH MAXROWS 1000 SELECT FROM [Model] WHERE (([Calendar_table].[Date (Month)].&amp;[Jan],[Measures].[Count of Patient Attend Status],[Hospital Emergency Room Data].[Patient Attend Status].&amp;[Delay])) RETURN [$Hospital Emergency Room Data].[Patient Id],[$Hospital Emergency Room Data].[Patient Admission Date],[$Hospital Emergency Room Data].[Patient Admission Time],[$Hospital Emergency Room Data].[Full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EBB6CDF5-9EB8-4F6A-A5F7-CC7A5AC457D6}" name="Query - Calendar_table" description="Connection to the 'Calendar_table' query in the workbook." type="100" refreshedVersion="8" minRefreshableVersion="5">
    <extLst>
      <ext xmlns:x15="http://schemas.microsoft.com/office/spreadsheetml/2010/11/main" uri="{DE250136-89BD-433C-8126-D09CA5730AF9}">
        <x15:connection id="f4f53a8a-b89e-4da7-9768-67d74fde3702"/>
      </ext>
    </extLst>
  </connection>
  <connection id="5" xr16:uid="{2496D9AE-4897-42BC-9B73-2BD27828DB5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5b4614a-9245-43a1-a681-e7a307f29b6b"/>
      </ext>
    </extLst>
  </connection>
  <connection id="6" xr16:uid="{0643E085-E31E-45EB-A7EF-81B52FBB76B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<sst xmlns="http://schemas.openxmlformats.org/spreadsheetml/2006/main" count="3478" uniqueCount="825">
  <si>
    <t>Distinct Count of Patient Id</t>
  </si>
  <si>
    <t>No.of Patients</t>
  </si>
  <si>
    <t>Average of Patient Waittime</t>
  </si>
  <si>
    <t>Average of Patient Satisfaction Score</t>
  </si>
  <si>
    <t>Grand Total</t>
  </si>
  <si>
    <t>Row Labels</t>
  </si>
  <si>
    <t>daily trends of patients</t>
  </si>
  <si>
    <t>average wait time</t>
  </si>
  <si>
    <t>Hospital Emergency Room Data[Patient Id]</t>
  </si>
  <si>
    <t>Hospital Emergency Room Data[Patient Admission Date]</t>
  </si>
  <si>
    <t>Hospital Emergency Room Data[Patient Admission Time]</t>
  </si>
  <si>
    <t>Hospital Emergency Room Data[Full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</si>
  <si>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</si>
  <si>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</si>
  <si>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</si>
  <si>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</si>
  <si>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</si>
  <si>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</si>
  <si>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</si>
  <si>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</si>
  <si>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</si>
  <si>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732-99-8011</t>
  </si>
  <si>
    <t>H. Gurrado</t>
  </si>
  <si>
    <t>Female</t>
  </si>
  <si>
    <t>White</t>
  </si>
  <si>
    <t>None</t>
  </si>
  <si>
    <t>Admitted</t>
  </si>
  <si>
    <t>40-49</t>
  </si>
  <si>
    <t>Ontime</t>
  </si>
  <si>
    <t>701-74-8201</t>
  </si>
  <si>
    <t>R. Jeaycock</t>
  </si>
  <si>
    <t>30-39</t>
  </si>
  <si>
    <t>Delay</t>
  </si>
  <si>
    <t>807-06-2498</t>
  </si>
  <si>
    <t>X. Cowpertwait</t>
  </si>
  <si>
    <t>African American</t>
  </si>
  <si>
    <t>60-69</t>
  </si>
  <si>
    <t>763-76-4655</t>
  </si>
  <si>
    <t>B. Havoc</t>
  </si>
  <si>
    <t>Male</t>
  </si>
  <si>
    <t>Two or More Races</t>
  </si>
  <si>
    <t>Not Admitted</t>
  </si>
  <si>
    <t>10-19</t>
  </si>
  <si>
    <t>180-02-8927</t>
  </si>
  <si>
    <t>L. Eltringham</t>
  </si>
  <si>
    <t>Declined to Identify</t>
  </si>
  <si>
    <t>20-29</t>
  </si>
  <si>
    <t>218-16-4997</t>
  </si>
  <si>
    <t>S. Rapper</t>
  </si>
  <si>
    <t>102-24-8249</t>
  </si>
  <si>
    <t>A. Staples</t>
  </si>
  <si>
    <t>General Practice</t>
  </si>
  <si>
    <t>0-09</t>
  </si>
  <si>
    <t>249-47-9666</t>
  </si>
  <si>
    <t>Y. Greep</t>
  </si>
  <si>
    <t>541-22-8120</t>
  </si>
  <si>
    <t>T. Shreeves</t>
  </si>
  <si>
    <t>Asian</t>
  </si>
  <si>
    <t>Orthopedics</t>
  </si>
  <si>
    <t>50-59</t>
  </si>
  <si>
    <t>869-10-5238</t>
  </si>
  <si>
    <t>L. Ewers</t>
  </si>
  <si>
    <t>Physiotherapy</t>
  </si>
  <si>
    <t>771-58-1297</t>
  </si>
  <si>
    <t>G. Chesney</t>
  </si>
  <si>
    <t>498-19-8616</t>
  </si>
  <si>
    <t>P. Lambe</t>
  </si>
  <si>
    <t>Cardiology</t>
  </si>
  <si>
    <t>263-10-1520</t>
  </si>
  <si>
    <t>M. Saipy</t>
  </si>
  <si>
    <t>232-46-5874</t>
  </si>
  <si>
    <t>X. Wilse</t>
  </si>
  <si>
    <t>Gastroenterology</t>
  </si>
  <si>
    <t>439-72-3934</t>
  </si>
  <si>
    <t>C. Morby</t>
  </si>
  <si>
    <t>Pacific Islander</t>
  </si>
  <si>
    <t>551-35-9369</t>
  </si>
  <si>
    <t>B. Simonetto</t>
  </si>
  <si>
    <t>180-35-8890</t>
  </si>
  <si>
    <t>S. Vigurs</t>
  </si>
  <si>
    <t>227-23-5068</t>
  </si>
  <si>
    <t>F. Faherty</t>
  </si>
  <si>
    <t>70-79</t>
  </si>
  <si>
    <t>787-02-2075</t>
  </si>
  <si>
    <t>D. Bartalin</t>
  </si>
  <si>
    <t>Data returned for Distinct Count of Patient Id, 1-Mar, Mar (First 1000 rows).</t>
  </si>
  <si>
    <t>satisfaction score daily trend</t>
  </si>
  <si>
    <t>Count of Patient Attend Status</t>
  </si>
  <si>
    <t>Count of Patient Admission Flag</t>
  </si>
  <si>
    <t>Admission status</t>
  </si>
  <si>
    <t>%Status</t>
  </si>
  <si>
    <t>Count of Age Group</t>
  </si>
  <si>
    <t>age group analysis</t>
  </si>
  <si>
    <t>508-48-9648</t>
  </si>
  <si>
    <t>C. Rogliero</t>
  </si>
  <si>
    <t>392-48-9061</t>
  </si>
  <si>
    <t>P. Akeherst</t>
  </si>
  <si>
    <t>487-70-4415</t>
  </si>
  <si>
    <t>Q. Stenbridge</t>
  </si>
  <si>
    <t>391-77-8971</t>
  </si>
  <si>
    <t>W. Laxon</t>
  </si>
  <si>
    <t>445-10-8118</t>
  </si>
  <si>
    <t>E. Dax</t>
  </si>
  <si>
    <t>507-81-5352</t>
  </si>
  <si>
    <t>J. Battson</t>
  </si>
  <si>
    <t>296-35-4605</t>
  </si>
  <si>
    <t>Q. Kenset</t>
  </si>
  <si>
    <t>392-57-1593</t>
  </si>
  <si>
    <t>M. Mantz</t>
  </si>
  <si>
    <t>701-10-0774</t>
  </si>
  <si>
    <t>Y. De Maine</t>
  </si>
  <si>
    <t>614-25-0773</t>
  </si>
  <si>
    <t>V. Boldry</t>
  </si>
  <si>
    <t>167-50-7288</t>
  </si>
  <si>
    <t>Z. Hunnable</t>
  </si>
  <si>
    <t>716-90-5923</t>
  </si>
  <si>
    <t>V. Seadon</t>
  </si>
  <si>
    <t>475-01-9497</t>
  </si>
  <si>
    <t>O. Tilson</t>
  </si>
  <si>
    <t>770-53-5270</t>
  </si>
  <si>
    <t>K. Swyer</t>
  </si>
  <si>
    <t>646-10-4499</t>
  </si>
  <si>
    <t>L. Beirne</t>
  </si>
  <si>
    <t>510-77-6351</t>
  </si>
  <si>
    <t>N. Sheather</t>
  </si>
  <si>
    <t>435-25-9744</t>
  </si>
  <si>
    <t>I. Cullrford</t>
  </si>
  <si>
    <t>541-44-8484</t>
  </si>
  <si>
    <t>Q. Almond</t>
  </si>
  <si>
    <t>791-36-7512</t>
  </si>
  <si>
    <t>V. Piddle</t>
  </si>
  <si>
    <t>139-22-0701</t>
  </si>
  <si>
    <t>L. Lovick</t>
  </si>
  <si>
    <t>299-82-6754</t>
  </si>
  <si>
    <t>H. Hannon</t>
  </si>
  <si>
    <t>473-86-0631</t>
  </si>
  <si>
    <t>P. Veschi</t>
  </si>
  <si>
    <t>815-71-9230</t>
  </si>
  <si>
    <t>E. Hollingby</t>
  </si>
  <si>
    <t>794-22-4498</t>
  </si>
  <si>
    <t>K. Robeson</t>
  </si>
  <si>
    <t>315-68-5001</t>
  </si>
  <si>
    <t>R. Bartunek</t>
  </si>
  <si>
    <t>185-43-6846</t>
  </si>
  <si>
    <t>W. Forgie</t>
  </si>
  <si>
    <t>456-18-0227</t>
  </si>
  <si>
    <t>O. Farryan</t>
  </si>
  <si>
    <t>237-36-6208</t>
  </si>
  <si>
    <t>I. Astlet</t>
  </si>
  <si>
    <t>Native American/Alaska Native</t>
  </si>
  <si>
    <t>362-51-7082</t>
  </si>
  <si>
    <t>P. Kegg</t>
  </si>
  <si>
    <t>497-73-0149</t>
  </si>
  <si>
    <t>D. Vigors</t>
  </si>
  <si>
    <t>253-73-0692</t>
  </si>
  <si>
    <t>U. Sidden</t>
  </si>
  <si>
    <t>259-10-0339</t>
  </si>
  <si>
    <t>Q. Dodridge</t>
  </si>
  <si>
    <t>482-05-7766</t>
  </si>
  <si>
    <t>D. Marrable</t>
  </si>
  <si>
    <t>761-66-7563</t>
  </si>
  <si>
    <t>W. Colvin</t>
  </si>
  <si>
    <t>123-98-9698</t>
  </si>
  <si>
    <t>H. Wetherburn</t>
  </si>
  <si>
    <t>872-25-5467</t>
  </si>
  <si>
    <t>O. Fortey</t>
  </si>
  <si>
    <t>672-66-3624</t>
  </si>
  <si>
    <t>E. Battista</t>
  </si>
  <si>
    <t>308-11-3429</t>
  </si>
  <si>
    <t>D. Wyldbore</t>
  </si>
  <si>
    <t>474-83-6505</t>
  </si>
  <si>
    <t>P. Gheorghie</t>
  </si>
  <si>
    <t>866-62-4550</t>
  </si>
  <si>
    <t>F. McBayne</t>
  </si>
  <si>
    <t>784-41-9437</t>
  </si>
  <si>
    <t>G. Walker</t>
  </si>
  <si>
    <t>480-83-8725</t>
  </si>
  <si>
    <t>C. Colleck</t>
  </si>
  <si>
    <t>774-89-5184</t>
  </si>
  <si>
    <t>V. Bourdice</t>
  </si>
  <si>
    <t>767-63-9719</t>
  </si>
  <si>
    <t>W. Dixie</t>
  </si>
  <si>
    <t>313-36-3938</t>
  </si>
  <si>
    <t>G. Heigold</t>
  </si>
  <si>
    <t>409-55-2108</t>
  </si>
  <si>
    <t>R. Buller</t>
  </si>
  <si>
    <t>664-85-2224</t>
  </si>
  <si>
    <t>A. Shovell</t>
  </si>
  <si>
    <t>540-19-1275</t>
  </si>
  <si>
    <t>B. Elford</t>
  </si>
  <si>
    <t>187-39-7367</t>
  </si>
  <si>
    <t>G. Hankard</t>
  </si>
  <si>
    <t>110-19-5907</t>
  </si>
  <si>
    <t>M. Lorentzen</t>
  </si>
  <si>
    <t>515-13-6589</t>
  </si>
  <si>
    <t>A. McCree</t>
  </si>
  <si>
    <t>604-90-6890</t>
  </si>
  <si>
    <t>Z. Assel</t>
  </si>
  <si>
    <t>Renal</t>
  </si>
  <si>
    <t>348-60-4130</t>
  </si>
  <si>
    <t>Y. Curtin</t>
  </si>
  <si>
    <t>323-99-0794</t>
  </si>
  <si>
    <t>I. Ruselin</t>
  </si>
  <si>
    <t>374-08-6811</t>
  </si>
  <si>
    <t>Y. Broadis</t>
  </si>
  <si>
    <t>840-11-5082</t>
  </si>
  <si>
    <t>L. Wyburn</t>
  </si>
  <si>
    <t>407-24-8802</t>
  </si>
  <si>
    <t>C. Kittiman</t>
  </si>
  <si>
    <t>691-66-2729</t>
  </si>
  <si>
    <t>P. Downgate</t>
  </si>
  <si>
    <t>247-10-0203</t>
  </si>
  <si>
    <t>F. Elmhirst</t>
  </si>
  <si>
    <t>577-72-3497</t>
  </si>
  <si>
    <t>I. Defond</t>
  </si>
  <si>
    <t>338-57-1208</t>
  </si>
  <si>
    <t>S. Samwayes</t>
  </si>
  <si>
    <t>193-58-6345</t>
  </si>
  <si>
    <t>Y. Vassman</t>
  </si>
  <si>
    <t>320-82-5563</t>
  </si>
  <si>
    <t>S. Rubel</t>
  </si>
  <si>
    <t>551-28-9613</t>
  </si>
  <si>
    <t>E. Yancey</t>
  </si>
  <si>
    <t>368-48-8290</t>
  </si>
  <si>
    <t>O. Carrabott</t>
  </si>
  <si>
    <t>694-56-2971</t>
  </si>
  <si>
    <t>V. Doldon</t>
  </si>
  <si>
    <t>226-68-1759</t>
  </si>
  <si>
    <t>U. Lacroix</t>
  </si>
  <si>
    <t>156-92-5624</t>
  </si>
  <si>
    <t>D. Peirson</t>
  </si>
  <si>
    <t>617-03-1693</t>
  </si>
  <si>
    <t>I. Sampson</t>
  </si>
  <si>
    <t>592-35-6777</t>
  </si>
  <si>
    <t>O. McMichell</t>
  </si>
  <si>
    <t>635-96-2790</t>
  </si>
  <si>
    <t>H. Hookes</t>
  </si>
  <si>
    <t>618-74-2955</t>
  </si>
  <si>
    <t>U. Daubney</t>
  </si>
  <si>
    <t>543-66-8030</t>
  </si>
  <si>
    <t>J. Harte</t>
  </si>
  <si>
    <t>234-47-1462</t>
  </si>
  <si>
    <t>C. Trainer</t>
  </si>
  <si>
    <t>546-84-1188</t>
  </si>
  <si>
    <t>L. Caramuscia</t>
  </si>
  <si>
    <t>210-67-0041</t>
  </si>
  <si>
    <t>D. Persent</t>
  </si>
  <si>
    <t>Data returned for Count of Age Group, 0-09, Jan (First 1000 rows).</t>
  </si>
  <si>
    <t>884-62-4452</t>
  </si>
  <si>
    <t>D. Tschiersch</t>
  </si>
  <si>
    <t>619-23-3246</t>
  </si>
  <si>
    <t>F. Tuffield</t>
  </si>
  <si>
    <t>202-14-5092</t>
  </si>
  <si>
    <t>M. Daout</t>
  </si>
  <si>
    <t>231-36-9685</t>
  </si>
  <si>
    <t>M. Loche</t>
  </si>
  <si>
    <t>717-69-4042</t>
  </si>
  <si>
    <t>M. Roon</t>
  </si>
  <si>
    <t>327-92-4166</t>
  </si>
  <si>
    <t>O. Helleckas</t>
  </si>
  <si>
    <t>632-79-5714</t>
  </si>
  <si>
    <t>P. Pinor</t>
  </si>
  <si>
    <t>288-47-4512</t>
  </si>
  <si>
    <t>Q. Quene</t>
  </si>
  <si>
    <t>783-12-5617</t>
  </si>
  <si>
    <t>S. Dawidsohn</t>
  </si>
  <si>
    <t>858-26-7075</t>
  </si>
  <si>
    <t>V. Gedge</t>
  </si>
  <si>
    <t>609-94-3506</t>
  </si>
  <si>
    <t>V. Dexter</t>
  </si>
  <si>
    <t>677-60-4398</t>
  </si>
  <si>
    <t>Z. Vasyunin</t>
  </si>
  <si>
    <t>388-69-8923</t>
  </si>
  <si>
    <t>G. Tanby</t>
  </si>
  <si>
    <t>744-84-5269</t>
  </si>
  <si>
    <t>D. Rainard</t>
  </si>
  <si>
    <t>759-48-3807</t>
  </si>
  <si>
    <t>E. Labat</t>
  </si>
  <si>
    <t>691-23-3765</t>
  </si>
  <si>
    <t>H. Goricke</t>
  </si>
  <si>
    <t>402-43-6398</t>
  </si>
  <si>
    <t>I. Potteridge</t>
  </si>
  <si>
    <t>107-84-2136</t>
  </si>
  <si>
    <t>L. Selly</t>
  </si>
  <si>
    <t>538-43-0758</t>
  </si>
  <si>
    <t>L. Goodricke</t>
  </si>
  <si>
    <t>114-90-7587</t>
  </si>
  <si>
    <t>P. Beaconsall</t>
  </si>
  <si>
    <t>889-02-1595</t>
  </si>
  <si>
    <t>R. Cawcutt</t>
  </si>
  <si>
    <t>689-47-4564</t>
  </si>
  <si>
    <t>Q. McColm</t>
  </si>
  <si>
    <t>175-29-2235</t>
  </si>
  <si>
    <t>A. Wolfit</t>
  </si>
  <si>
    <t>471-34-5753</t>
  </si>
  <si>
    <t>B. Connock</t>
  </si>
  <si>
    <t>533-87-1299</t>
  </si>
  <si>
    <t>E. Brownlee</t>
  </si>
  <si>
    <t>733-12-3253</t>
  </si>
  <si>
    <t>K. Meanwell</t>
  </si>
  <si>
    <t>730-33-4575</t>
  </si>
  <si>
    <t>Q. Picard</t>
  </si>
  <si>
    <t>438-38-9392</t>
  </si>
  <si>
    <t>V. Pezey</t>
  </si>
  <si>
    <t>547-45-4774</t>
  </si>
  <si>
    <t>B. Akaster</t>
  </si>
  <si>
    <t>860-91-3089</t>
  </si>
  <si>
    <t>C. Pascho</t>
  </si>
  <si>
    <t>261-41-3006</t>
  </si>
  <si>
    <t>D. Slocum</t>
  </si>
  <si>
    <t>625-11-3614</t>
  </si>
  <si>
    <t>E. Shovel</t>
  </si>
  <si>
    <t>379-30-7250</t>
  </si>
  <si>
    <t>J. Acory</t>
  </si>
  <si>
    <t>181-27-3015</t>
  </si>
  <si>
    <t>K. Amos</t>
  </si>
  <si>
    <t>290-91-2994</t>
  </si>
  <si>
    <t>N. Lehr</t>
  </si>
  <si>
    <t>639-44-3444</t>
  </si>
  <si>
    <t>S. Hillatt</t>
  </si>
  <si>
    <t>519-51-4443</t>
  </si>
  <si>
    <t>I. Kerss</t>
  </si>
  <si>
    <t>151-56-8440</t>
  </si>
  <si>
    <t>M. Martusewicz</t>
  </si>
  <si>
    <t>578-88-9545</t>
  </si>
  <si>
    <t>O. Seally</t>
  </si>
  <si>
    <t>100-70-0071</t>
  </si>
  <si>
    <t>R. Downham</t>
  </si>
  <si>
    <t>100-17-5081</t>
  </si>
  <si>
    <t>V. Flicker</t>
  </si>
  <si>
    <t>864-95-3743</t>
  </si>
  <si>
    <t>Y. Figiovanni</t>
  </si>
  <si>
    <t>502-54-3350</t>
  </si>
  <si>
    <t>Z. Row</t>
  </si>
  <si>
    <t>153-35-5072</t>
  </si>
  <si>
    <t>C. Yeats</t>
  </si>
  <si>
    <t>462-70-2628</t>
  </si>
  <si>
    <t>H. Loudon</t>
  </si>
  <si>
    <t>203-87-1234</t>
  </si>
  <si>
    <t>P. Abrahart</t>
  </si>
  <si>
    <t>338-40-8634</t>
  </si>
  <si>
    <t>Q. Dinneges</t>
  </si>
  <si>
    <t>307-33-2596</t>
  </si>
  <si>
    <t>T. Trenfield</t>
  </si>
  <si>
    <t>388-56-6915</t>
  </si>
  <si>
    <t>U. Feather</t>
  </si>
  <si>
    <t>404-87-6936</t>
  </si>
  <si>
    <t>M. Caudrelier</t>
  </si>
  <si>
    <t>522-30-9330</t>
  </si>
  <si>
    <t>E. Van der Kruys</t>
  </si>
  <si>
    <t>233-87-0588</t>
  </si>
  <si>
    <t>F. Aronoff</t>
  </si>
  <si>
    <t>226-63-2239</t>
  </si>
  <si>
    <t>L. Challinor</t>
  </si>
  <si>
    <t>248-97-2178</t>
  </si>
  <si>
    <t>O. Gianninotti</t>
  </si>
  <si>
    <t>639-02-2166</t>
  </si>
  <si>
    <t>C. Wyburn</t>
  </si>
  <si>
    <t>744-40-2958</t>
  </si>
  <si>
    <t>H. Dillow</t>
  </si>
  <si>
    <t>785-35-7295</t>
  </si>
  <si>
    <t>K. McKeon</t>
  </si>
  <si>
    <t>879-87-0888</t>
  </si>
  <si>
    <t>W. Scroyton</t>
  </si>
  <si>
    <t>340-20-9334</t>
  </si>
  <si>
    <t>K. Ham</t>
  </si>
  <si>
    <t>186-91-5001</t>
  </si>
  <si>
    <t>F. Orpwood</t>
  </si>
  <si>
    <t>364-20-0981</t>
  </si>
  <si>
    <t>R. Exton</t>
  </si>
  <si>
    <t>187-53-7163</t>
  </si>
  <si>
    <t>T. Menis</t>
  </si>
  <si>
    <t>290-02-3208</t>
  </si>
  <si>
    <t>V. Brookesbie</t>
  </si>
  <si>
    <t>860-78-0173</t>
  </si>
  <si>
    <t>V. Farncomb</t>
  </si>
  <si>
    <t>574-90-3887</t>
  </si>
  <si>
    <t>Z. Shakelade</t>
  </si>
  <si>
    <t>600-62-3412</t>
  </si>
  <si>
    <t>H. Ponting</t>
  </si>
  <si>
    <t>264-28-6782</t>
  </si>
  <si>
    <t>C. Widdowson</t>
  </si>
  <si>
    <t>658-64-5564</t>
  </si>
  <si>
    <t>D. Dearman</t>
  </si>
  <si>
    <t>378-23-0641</t>
  </si>
  <si>
    <t>M. Bradbury</t>
  </si>
  <si>
    <t>688-41-9049</t>
  </si>
  <si>
    <t>Q. Westwell</t>
  </si>
  <si>
    <t>181-08-6985</t>
  </si>
  <si>
    <t>Y. Laverock</t>
  </si>
  <si>
    <t>284-83-4586</t>
  </si>
  <si>
    <t>Y. Stanistreet</t>
  </si>
  <si>
    <t>365-42-3810</t>
  </si>
  <si>
    <t>A. Jeenes</t>
  </si>
  <si>
    <t>742-21-9416</t>
  </si>
  <si>
    <t>K. Scapelhorn</t>
  </si>
  <si>
    <t>102-73-6494</t>
  </si>
  <si>
    <t>M. Wogdon</t>
  </si>
  <si>
    <t>899-55-1671</t>
  </si>
  <si>
    <t>N. Haslum</t>
  </si>
  <si>
    <t>589-50-5696</t>
  </si>
  <si>
    <t>D. Hele</t>
  </si>
  <si>
    <t>130-80-6101</t>
  </si>
  <si>
    <t>I. Barles</t>
  </si>
  <si>
    <t>164-26-6964</t>
  </si>
  <si>
    <t>N. Pickton</t>
  </si>
  <si>
    <t>180-09-7890</t>
  </si>
  <si>
    <t>U. Dunster</t>
  </si>
  <si>
    <t>154-12-2643</t>
  </si>
  <si>
    <t>U. Durant</t>
  </si>
  <si>
    <t>440-64-1066</t>
  </si>
  <si>
    <t>K. Head</t>
  </si>
  <si>
    <t>623-46-0702</t>
  </si>
  <si>
    <t>E. Saundercock</t>
  </si>
  <si>
    <t>667-90-7049</t>
  </si>
  <si>
    <t>S. Caldecourt</t>
  </si>
  <si>
    <t>745-62-9973</t>
  </si>
  <si>
    <t>D. Bleacher</t>
  </si>
  <si>
    <t>112-50-3721</t>
  </si>
  <si>
    <t>J. Morison</t>
  </si>
  <si>
    <t>777-10-1248</t>
  </si>
  <si>
    <t>O. Storres</t>
  </si>
  <si>
    <t>150-61-5269</t>
  </si>
  <si>
    <t>C. Amery</t>
  </si>
  <si>
    <t>287-36-4022</t>
  </si>
  <si>
    <t>E. Fisbburne</t>
  </si>
  <si>
    <t>660-86-2261</t>
  </si>
  <si>
    <t>E. McKeown</t>
  </si>
  <si>
    <t>530-65-7735</t>
  </si>
  <si>
    <t>H. Pentycross</t>
  </si>
  <si>
    <t>886-68-2597</t>
  </si>
  <si>
    <t>O. Crowter</t>
  </si>
  <si>
    <t>802-89-4548</t>
  </si>
  <si>
    <t>P. Soro</t>
  </si>
  <si>
    <t>563-01-2494</t>
  </si>
  <si>
    <t>D. Blaasch</t>
  </si>
  <si>
    <t>566-17-1941</t>
  </si>
  <si>
    <t>H. Hatz</t>
  </si>
  <si>
    <t>405-04-7699</t>
  </si>
  <si>
    <t>L. Petrie</t>
  </si>
  <si>
    <t>607-90-8770</t>
  </si>
  <si>
    <t>Q. Tidman</t>
  </si>
  <si>
    <t>343-75-3388</t>
  </si>
  <si>
    <t>M. Damrel</t>
  </si>
  <si>
    <t>550-62-2048</t>
  </si>
  <si>
    <t>B. Spriggs</t>
  </si>
  <si>
    <t>284-16-9688</t>
  </si>
  <si>
    <t>L. Worvell</t>
  </si>
  <si>
    <t>383-64-6636</t>
  </si>
  <si>
    <t>P. Loalday</t>
  </si>
  <si>
    <t>440-68-4290</t>
  </si>
  <si>
    <t>D. Aglione</t>
  </si>
  <si>
    <t>390-79-5650</t>
  </si>
  <si>
    <t>E. Skerritt</t>
  </si>
  <si>
    <t>780-12-9711</t>
  </si>
  <si>
    <t>F. Dronsfield</t>
  </si>
  <si>
    <t>561-11-2621</t>
  </si>
  <si>
    <t>Y. Lafford</t>
  </si>
  <si>
    <t>887-07-3859</t>
  </si>
  <si>
    <t>H. Muzzi</t>
  </si>
  <si>
    <t>664-79-4058</t>
  </si>
  <si>
    <t>R. Rosenbarg</t>
  </si>
  <si>
    <t>292-29-7969</t>
  </si>
  <si>
    <t>P. Shayes</t>
  </si>
  <si>
    <t>287-25-4664</t>
  </si>
  <si>
    <t>P. Fleckness</t>
  </si>
  <si>
    <t>476-51-4466</t>
  </si>
  <si>
    <t>S. Bullan</t>
  </si>
  <si>
    <t>831-87-6198</t>
  </si>
  <si>
    <t>J. Hendrickson</t>
  </si>
  <si>
    <t>468-23-6357</t>
  </si>
  <si>
    <t>L. De Bruyne</t>
  </si>
  <si>
    <t>688-62-6860</t>
  </si>
  <si>
    <t>L. Hurdle</t>
  </si>
  <si>
    <t>842-46-5824</t>
  </si>
  <si>
    <t>J. Roots</t>
  </si>
  <si>
    <t>392-65-2951</t>
  </si>
  <si>
    <t>R. Haldane</t>
  </si>
  <si>
    <t>162-86-9521</t>
  </si>
  <si>
    <t>A. Cudihy</t>
  </si>
  <si>
    <t>154-02-3266</t>
  </si>
  <si>
    <t>E. Behne</t>
  </si>
  <si>
    <t>689-43-8910</t>
  </si>
  <si>
    <t>T. Passo</t>
  </si>
  <si>
    <t>575-58-8181</t>
  </si>
  <si>
    <t>J. Rimington</t>
  </si>
  <si>
    <t>132-84-3700</t>
  </si>
  <si>
    <t>F. Ackermann</t>
  </si>
  <si>
    <t>124-82-5230</t>
  </si>
  <si>
    <t>D. Coster</t>
  </si>
  <si>
    <t>291-35-7777</t>
  </si>
  <si>
    <t>H. Tangye</t>
  </si>
  <si>
    <t>860-83-7481</t>
  </si>
  <si>
    <t>U. Offener</t>
  </si>
  <si>
    <t>102-60-4609</t>
  </si>
  <si>
    <t>Y. Rutt</t>
  </si>
  <si>
    <t>119-30-5643</t>
  </si>
  <si>
    <t>M. MacAndreis</t>
  </si>
  <si>
    <t>728-66-8875</t>
  </si>
  <si>
    <t>X. Burness</t>
  </si>
  <si>
    <t>178-35-6443</t>
  </si>
  <si>
    <t>F. Lippett</t>
  </si>
  <si>
    <t>271-54-8655</t>
  </si>
  <si>
    <t>L. MacGahy</t>
  </si>
  <si>
    <t>635-03-0538</t>
  </si>
  <si>
    <t>F. Mcwhinnie</t>
  </si>
  <si>
    <t>865-30-2867</t>
  </si>
  <si>
    <t>M. Biskupski</t>
  </si>
  <si>
    <t>334-88-2963</t>
  </si>
  <si>
    <t>X. Bristowe</t>
  </si>
  <si>
    <t>179-24-8770</t>
  </si>
  <si>
    <t>Z. Strooband</t>
  </si>
  <si>
    <t>782-38-8963</t>
  </si>
  <si>
    <t>B. Bricksey</t>
  </si>
  <si>
    <t>614-10-6705</t>
  </si>
  <si>
    <t>Q. Liggins</t>
  </si>
  <si>
    <t>515-48-8143</t>
  </si>
  <si>
    <t>G. Fetherstonhaugh</t>
  </si>
  <si>
    <t>791-29-5321</t>
  </si>
  <si>
    <t>L. Stonbridge</t>
  </si>
  <si>
    <t>858-29-9077</t>
  </si>
  <si>
    <t>B. Puddicombe</t>
  </si>
  <si>
    <t>333-16-9345</t>
  </si>
  <si>
    <t>C. Hayball</t>
  </si>
  <si>
    <t>498-67-1104</t>
  </si>
  <si>
    <t>N. Brettel</t>
  </si>
  <si>
    <t>209-13-8764</t>
  </si>
  <si>
    <t>A. Glaister</t>
  </si>
  <si>
    <t>401-75-7006</t>
  </si>
  <si>
    <t>D. Kinahan</t>
  </si>
  <si>
    <t>526-02-3053</t>
  </si>
  <si>
    <t>P. Peach</t>
  </si>
  <si>
    <t>639-06-0100</t>
  </si>
  <si>
    <t>Q. Brachell</t>
  </si>
  <si>
    <t>627-61-1866</t>
  </si>
  <si>
    <t>D. Borsi</t>
  </si>
  <si>
    <t>476-22-8060</t>
  </si>
  <si>
    <t>S. Allsebrook</t>
  </si>
  <si>
    <t>697-73-4767</t>
  </si>
  <si>
    <t>B. Clewes</t>
  </si>
  <si>
    <t>232-22-8377</t>
  </si>
  <si>
    <t>O. Messham</t>
  </si>
  <si>
    <t>526-02-1830</t>
  </si>
  <si>
    <t>Y. Filgate</t>
  </si>
  <si>
    <t>725-56-0226</t>
  </si>
  <si>
    <t>G. Zielinski</t>
  </si>
  <si>
    <t>844-04-7131</t>
  </si>
  <si>
    <t>T. Petrillo</t>
  </si>
  <si>
    <t>514-75-2742</t>
  </si>
  <si>
    <t>S. Royle</t>
  </si>
  <si>
    <t>449-83-1904</t>
  </si>
  <si>
    <t>U. Bisacre</t>
  </si>
  <si>
    <t>327-14-9748</t>
  </si>
  <si>
    <t>P. Dance</t>
  </si>
  <si>
    <t>608-47-0337</t>
  </si>
  <si>
    <t>R. Boyle</t>
  </si>
  <si>
    <t>260-70-4444</t>
  </si>
  <si>
    <t>I. Temprell</t>
  </si>
  <si>
    <t>302-68-9742</t>
  </si>
  <si>
    <t>L. Penylton</t>
  </si>
  <si>
    <t>730-54-8361</t>
  </si>
  <si>
    <t>R. O'Lennachain</t>
  </si>
  <si>
    <t>374-46-8007</t>
  </si>
  <si>
    <t>R. McLugish</t>
  </si>
  <si>
    <t>167-77-4307</t>
  </si>
  <si>
    <t>F. Tunniclisse</t>
  </si>
  <si>
    <t>313-02-6855</t>
  </si>
  <si>
    <t>E. Ephgrave</t>
  </si>
  <si>
    <t>812-01-8966</t>
  </si>
  <si>
    <t>W. Bremond</t>
  </si>
  <si>
    <t>771-94-6870</t>
  </si>
  <si>
    <t>Z. Muccino</t>
  </si>
  <si>
    <t>754-26-5507</t>
  </si>
  <si>
    <t>N. Antonazzi</t>
  </si>
  <si>
    <t>229-98-0118</t>
  </si>
  <si>
    <t>R. Dugmore</t>
  </si>
  <si>
    <t>423-67-7757</t>
  </si>
  <si>
    <t>Y. Seagrave</t>
  </si>
  <si>
    <t>251-72-9605</t>
  </si>
  <si>
    <t>I. Gentry</t>
  </si>
  <si>
    <t>634-94-1438</t>
  </si>
  <si>
    <t>P. Baudichon</t>
  </si>
  <si>
    <t>848-51-5434</t>
  </si>
  <si>
    <t>F. Skilton</t>
  </si>
  <si>
    <t>672-75-7086</t>
  </si>
  <si>
    <t>S. McCaughan</t>
  </si>
  <si>
    <t>488-61-3428</t>
  </si>
  <si>
    <t>U. Yegorchenkov</t>
  </si>
  <si>
    <t>357-69-5446</t>
  </si>
  <si>
    <t>A. Huetson</t>
  </si>
  <si>
    <t>172-88-9711</t>
  </si>
  <si>
    <t>L. Fricke</t>
  </si>
  <si>
    <t>402-85-5587</t>
  </si>
  <si>
    <t>P. Biggen</t>
  </si>
  <si>
    <t>804-44-8560</t>
  </si>
  <si>
    <t>L. Capitano</t>
  </si>
  <si>
    <t>832-72-0329</t>
  </si>
  <si>
    <t>Q. Lethbury</t>
  </si>
  <si>
    <t>767-96-0026</t>
  </si>
  <si>
    <t>V. Frammingham</t>
  </si>
  <si>
    <t>342-20-9295</t>
  </si>
  <si>
    <t>E. Revey</t>
  </si>
  <si>
    <t>740-27-0503</t>
  </si>
  <si>
    <t>Q. Lodwick</t>
  </si>
  <si>
    <t>705-51-2537</t>
  </si>
  <si>
    <t>I. Olyet</t>
  </si>
  <si>
    <t>404-61-7141</t>
  </si>
  <si>
    <t>G. Schuler</t>
  </si>
  <si>
    <t>323-73-5214</t>
  </si>
  <si>
    <t>Z. Andrelli</t>
  </si>
  <si>
    <t>804-80-4289</t>
  </si>
  <si>
    <t>Q. Lomax</t>
  </si>
  <si>
    <t>236-71-7697</t>
  </si>
  <si>
    <t>Y. Battabee</t>
  </si>
  <si>
    <t>730-96-4481</t>
  </si>
  <si>
    <t>R. Eede</t>
  </si>
  <si>
    <t>807-90-1810</t>
  </si>
  <si>
    <t>B. Whitemarsh</t>
  </si>
  <si>
    <t>675-28-6083</t>
  </si>
  <si>
    <t>P. Straine</t>
  </si>
  <si>
    <t>385-87-1090</t>
  </si>
  <si>
    <t>R. Reuben</t>
  </si>
  <si>
    <t>729-44-7586</t>
  </si>
  <si>
    <t>D. Ornillos</t>
  </si>
  <si>
    <t>353-25-3957</t>
  </si>
  <si>
    <t>S. Levermore</t>
  </si>
  <si>
    <t>388-09-3917</t>
  </si>
  <si>
    <t>N. Ambrosch</t>
  </si>
  <si>
    <t>175-49-8550</t>
  </si>
  <si>
    <t>B. Nisot</t>
  </si>
  <si>
    <t>599-03-3606</t>
  </si>
  <si>
    <t>G. Deverose</t>
  </si>
  <si>
    <t>310-36-1997</t>
  </si>
  <si>
    <t>S. Rennicks</t>
  </si>
  <si>
    <t>769-87-4732</t>
  </si>
  <si>
    <t>X. Bizley</t>
  </si>
  <si>
    <t>Neurology</t>
  </si>
  <si>
    <t>259-62-7456</t>
  </si>
  <si>
    <t>K. Wragge</t>
  </si>
  <si>
    <t>693-84-3710</t>
  </si>
  <si>
    <t>W. McVaugh</t>
  </si>
  <si>
    <t>899-18-1079</t>
  </si>
  <si>
    <t>Z. Skeemer</t>
  </si>
  <si>
    <t>595-97-7229</t>
  </si>
  <si>
    <t>V. Eric</t>
  </si>
  <si>
    <t>383-24-5206</t>
  </si>
  <si>
    <t>O. Blackford</t>
  </si>
  <si>
    <t>483-81-4980</t>
  </si>
  <si>
    <t>K. Leabeater</t>
  </si>
  <si>
    <t>578-18-1747</t>
  </si>
  <si>
    <t>M. Scambler</t>
  </si>
  <si>
    <t>871-08-2820</t>
  </si>
  <si>
    <t>H. Whisson</t>
  </si>
  <si>
    <t>899-68-1954</t>
  </si>
  <si>
    <t>H. Gerler</t>
  </si>
  <si>
    <t>880-01-0115</t>
  </si>
  <si>
    <t>K. Burness</t>
  </si>
  <si>
    <t>561-25-6133</t>
  </si>
  <si>
    <t>G. Bradlaugh</t>
  </si>
  <si>
    <t>451-68-1953</t>
  </si>
  <si>
    <t>U. Ainley</t>
  </si>
  <si>
    <t>628-86-1438</t>
  </si>
  <si>
    <t>Z. Witherup</t>
  </si>
  <si>
    <t>135-96-4722</t>
  </si>
  <si>
    <t>V. Ganderton</t>
  </si>
  <si>
    <t>330-29-6460</t>
  </si>
  <si>
    <t>E. Pennrington</t>
  </si>
  <si>
    <t>248-79-4235</t>
  </si>
  <si>
    <t>L. Peake</t>
  </si>
  <si>
    <t>662-78-5868</t>
  </si>
  <si>
    <t>J. Inskipp</t>
  </si>
  <si>
    <t>385-77-2913</t>
  </si>
  <si>
    <t>T. Syrad</t>
  </si>
  <si>
    <t>355-78-2842</t>
  </si>
  <si>
    <t>V. Van Salzberger</t>
  </si>
  <si>
    <t>426-07-4984</t>
  </si>
  <si>
    <t>I. Deluca</t>
  </si>
  <si>
    <t>566-41-9643</t>
  </si>
  <si>
    <t>B. Charlson</t>
  </si>
  <si>
    <t>538-56-3650</t>
  </si>
  <si>
    <t>R. Dobell</t>
  </si>
  <si>
    <t>145-60-1945</t>
  </si>
  <si>
    <t>A. Leedal</t>
  </si>
  <si>
    <t>782-93-8426</t>
  </si>
  <si>
    <t>Q. Mechic</t>
  </si>
  <si>
    <t>809-85-4177</t>
  </si>
  <si>
    <t>J. Deluca</t>
  </si>
  <si>
    <t>739-91-8582</t>
  </si>
  <si>
    <t>V. Pedersen</t>
  </si>
  <si>
    <t>464-52-3680</t>
  </si>
  <si>
    <t>M. Dary</t>
  </si>
  <si>
    <t>363-45-5397</t>
  </si>
  <si>
    <t>V. Ahrend</t>
  </si>
  <si>
    <t>542-01-8930</t>
  </si>
  <si>
    <t>J. Arnecke</t>
  </si>
  <si>
    <t>188-73-2556</t>
  </si>
  <si>
    <t>E. Campo</t>
  </si>
  <si>
    <t>206-29-8584</t>
  </si>
  <si>
    <t>S. Fearnsides</t>
  </si>
  <si>
    <t>536-22-5483</t>
  </si>
  <si>
    <t>B. Ableson</t>
  </si>
  <si>
    <t>340-71-1290</t>
  </si>
  <si>
    <t>T. Jaquemar</t>
  </si>
  <si>
    <t>571-52-7559</t>
  </si>
  <si>
    <t>V. Farthin</t>
  </si>
  <si>
    <t>872-56-7401</t>
  </si>
  <si>
    <t>Y. Armfield</t>
  </si>
  <si>
    <t>384-25-8158</t>
  </si>
  <si>
    <t>F. Camblin</t>
  </si>
  <si>
    <t>516-65-1574</t>
  </si>
  <si>
    <t>F. Colwell</t>
  </si>
  <si>
    <t>221-94-0515</t>
  </si>
  <si>
    <t>S. Stillman</t>
  </si>
  <si>
    <t>182-88-7190</t>
  </si>
  <si>
    <t>X. Favill</t>
  </si>
  <si>
    <t>448-62-7896</t>
  </si>
  <si>
    <t>P. Bruins</t>
  </si>
  <si>
    <t>424-07-7939</t>
  </si>
  <si>
    <t>K. Glyn</t>
  </si>
  <si>
    <t>382-18-5399</t>
  </si>
  <si>
    <t>B. Assiratti</t>
  </si>
  <si>
    <t>452-70-6133</t>
  </si>
  <si>
    <t>R. Seldner</t>
  </si>
  <si>
    <t>119-84-9558</t>
  </si>
  <si>
    <t>T. Drache</t>
  </si>
  <si>
    <t>537-13-0339</t>
  </si>
  <si>
    <t>F. Giggs</t>
  </si>
  <si>
    <t>868-41-2022</t>
  </si>
  <si>
    <t>M. Baulcombe</t>
  </si>
  <si>
    <t>274-44-4510</t>
  </si>
  <si>
    <t>C. Guppy</t>
  </si>
  <si>
    <t>120-74-3430</t>
  </si>
  <si>
    <t>P. Boreham</t>
  </si>
  <si>
    <t>680-09-8962</t>
  </si>
  <si>
    <t>O. Stribling</t>
  </si>
  <si>
    <t>476-55-5109</t>
  </si>
  <si>
    <t>Z. Broxholme</t>
  </si>
  <si>
    <t>757-23-1659</t>
  </si>
  <si>
    <t>E. Orpwood</t>
  </si>
  <si>
    <t>733-34-8942</t>
  </si>
  <si>
    <t>T. Ikins</t>
  </si>
  <si>
    <t>880-92-3850</t>
  </si>
  <si>
    <t>A. Lyne</t>
  </si>
  <si>
    <t>467-99-8996</t>
  </si>
  <si>
    <t>G. Brame</t>
  </si>
  <si>
    <t>127-77-9547</t>
  </si>
  <si>
    <t>R. De Ruggero</t>
  </si>
  <si>
    <t>262-62-7521</t>
  </si>
  <si>
    <t>S. Daniau</t>
  </si>
  <si>
    <t>639-41-9990</t>
  </si>
  <si>
    <t>Q. Baudy</t>
  </si>
  <si>
    <t>366-93-1146</t>
  </si>
  <si>
    <t>G. Greeding</t>
  </si>
  <si>
    <t>760-40-8441</t>
  </si>
  <si>
    <t>C. Place</t>
  </si>
  <si>
    <t>248-79-5709</t>
  </si>
  <si>
    <t>S. Coryndon</t>
  </si>
  <si>
    <t>328-14-5591</t>
  </si>
  <si>
    <t>L. Shambrooke</t>
  </si>
  <si>
    <t>459-41-0106</t>
  </si>
  <si>
    <t>G. Humbey</t>
  </si>
  <si>
    <t>827-40-8129</t>
  </si>
  <si>
    <t>A. Assad</t>
  </si>
  <si>
    <t>598-65-6510</t>
  </si>
  <si>
    <t>Q. Scadden</t>
  </si>
  <si>
    <t>687-65-8903</t>
  </si>
  <si>
    <t>R. Lovstrom</t>
  </si>
  <si>
    <t>269-56-0676</t>
  </si>
  <si>
    <t>R. Tooth</t>
  </si>
  <si>
    <t>269-62-2200</t>
  </si>
  <si>
    <t>W. Barzen</t>
  </si>
  <si>
    <t>705-87-4667</t>
  </si>
  <si>
    <t>H. Woolnough</t>
  </si>
  <si>
    <t>827-65-1958</t>
  </si>
  <si>
    <t>E. D'Oyly</t>
  </si>
  <si>
    <t>130-03-6486</t>
  </si>
  <si>
    <t>M. Carwithan</t>
  </si>
  <si>
    <t>637-81-2602</t>
  </si>
  <si>
    <t>L. Curneen</t>
  </si>
  <si>
    <t>672-52-6379</t>
  </si>
  <si>
    <t>Q. Fausset</t>
  </si>
  <si>
    <t>365-52-7650</t>
  </si>
  <si>
    <t>Y. McCree</t>
  </si>
  <si>
    <t>199-35-7842</t>
  </si>
  <si>
    <t>F. Legerwood</t>
  </si>
  <si>
    <t>434-14-2526</t>
  </si>
  <si>
    <t>R. McLugaish</t>
  </si>
  <si>
    <t>339-22-8496</t>
  </si>
  <si>
    <t>P. Gehrels</t>
  </si>
  <si>
    <t>203-58-4811</t>
  </si>
  <si>
    <t>Z. Fortey</t>
  </si>
  <si>
    <t>Data returned for Count of Patient Attend Status, Delay, Jan (First 1000 rows).</t>
  </si>
  <si>
    <t>Count of Patient Gender</t>
  </si>
  <si>
    <t>Count of Department Referral</t>
  </si>
  <si>
    <t>2024</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</si>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</sst>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4"/>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2" fontId="0" fillId="0" borderId="0" xfId="0" applyNumberFormat="1"/>
    <xf numFmtId="0" fontId="0" fillId="2" borderId="0" xfId="0" applyFill="1"/>
    <xf numFmtId="14" fontId="0" fillId="0" borderId="0" xfId="0" applyNumberFormat="1"/>
    <xf numFmtId="0" fontId="0" fillId="0" borderId="0" xfId="0" applyAlignment="1">
      <alignment horizontal="left"/>
    </xf>
    <xf numFmtId="21" fontId="0" fillId="0" borderId="0" xfId="0" applyNumberFormat="1"/>
    <xf numFmtId="0" fontId="1" fillId="0" borderId="0" xfId="0" applyFont="1"/>
    <xf numFmtId="0" fontId="0" fillId="3" borderId="0" xfId="0" applyFill="1"/>
    <xf numFmtId="1" fontId="0" fillId="0" borderId="0" xfId="0" applyNumberFormat="1"/>
    <xf numFmtId="10" fontId="0" fillId="0" borderId="0" xfId="0" applyNumberFormat="1"/>
    <xf numFmtId="0" fontId="0" fillId="4" borderId="0" xfId="0" applyFill="1" applyAlignment="1">
      <alignment horizontal="center"/>
    </xf>
    <xf numFmtId="0" fontId="0" fillId="5" borderId="0" xfId="0" applyFill="1" applyAlignment="1">
      <alignment horizontal="center"/>
    </xf>
    <xf numFmtId="10" fontId="0" fillId="5" borderId="0" xfId="0" applyNumberFormat="1" applyFill="1" applyAlignment="1">
      <alignment horizontal="center"/>
    </xf>
  </cellXfs>
  <cellStyles count="1">
    <cellStyle name="Normal" xfId="0" builtinId="0"/>
  </cellStyles>
  <dxfs count="32">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 formatCode="0"/>
    </dxf>
    <dxf>
      <numFmt numFmtId="1" formatCode="0"/>
    </dxf>
    <dxf>
      <numFmt numFmtId="2" formatCode="0.00"/>
    </dxf>
    <dxf>
      <numFmt numFmtId="1" formatCode="0"/>
    </dxf>
    <dxf>
      <numFmt numFmtId="2" formatCode="0.00"/>
    </dxf>
    <dxf>
      <numFmt numFmtId="26" formatCode="hh:mm:ss"/>
    </dxf>
    <dxf>
      <numFmt numFmtId="19" formatCode="dd/mm/yyyy"/>
    </dxf>
    <dxf>
      <numFmt numFmtId="26" formatCode="hh:mm:ss"/>
    </dxf>
    <dxf>
      <numFmt numFmtId="19" formatCode="dd/mm/yyyy"/>
    </dxf>
    <dxf>
      <numFmt numFmtId="26" formatCode="hh:mm:ss"/>
    </dxf>
    <dxf>
      <numFmt numFmtId="19" formatCode="dd/mm/yyyy"/>
    </dxf>
    <dxf>
      <font>
        <b/>
        <color theme="1"/>
      </font>
      <border>
        <bottom style="thin">
          <color theme="6"/>
        </bottom>
        <vertical/>
        <horizontal/>
      </border>
    </dxf>
    <dxf>
      <font>
        <color theme="1"/>
      </font>
      <fill>
        <patternFill>
          <bgColor theme="5" tint="0.39994506668294322"/>
        </patternFill>
      </fill>
      <border diagonalUp="0" diagonalDown="0">
        <left/>
        <right/>
        <top/>
        <bottom/>
        <vertical/>
        <horizontal/>
      </border>
    </dxf>
    <dxf>
      <fill>
        <patternFill>
          <bgColor theme="5" tint="0.39994506668294322"/>
        </patternFill>
      </fill>
    </dxf>
  </dxfs>
  <tableStyles count="2" defaultTableStyle="TableStyleMedium2" defaultPivotStyle="PivotStyleLight16">
    <tableStyle name="My Style" pivot="0" table="0" count="1" xr9:uid="{FAF28C91-7455-4A6D-97A8-EB6406496C6E}">
      <tableStyleElement type="wholeTable" dxfId="31"/>
    </tableStyle>
    <tableStyle name="SlicerStyleLight3 2" pivot="0" table="0" count="10" xr9:uid="{9A6131C5-F622-456F-9B80-4F58AA309D00}">
      <tableStyleElement type="wholeTable" dxfId="30"/>
      <tableStyleElement type="headerRow" dxfId="2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3">
        <x14:slicerStyle name="My 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calcChain" Target="calcChain.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 Excel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0" tIns="72000" rIns="0" bIns="144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0" tIns="72000" rIns="0" bIns="14400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BCFC07-669B-43FC-8F34-F5D265073B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0" tIns="72000" rIns="0" bIns="14400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D43520-7AEA-4799-B936-F06CD049A9C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5.9919684545423511E-3"/>
          <c:y val="0.13140452604290601"/>
          <c:w val="0.99400803154545769"/>
          <c:h val="0.67774273942065633"/>
        </c:manualLayout>
      </c:layout>
      <c:barChart>
        <c:barDir val="bar"/>
        <c:grouping val="clustered"/>
        <c:varyColors val="0"/>
        <c:ser>
          <c:idx val="0"/>
          <c:order val="0"/>
          <c:tx>
            <c:strRef>
              <c:f>('Pivot report'!$C$30,'Pivot report'!$C$29)</c:f>
              <c:strCache>
                <c:ptCount val="1"/>
                <c:pt idx="0">
                  <c:v>Count of Patient Attend Status</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97CC-4EA9-8966-9718B550BCF4}"/>
              </c:ext>
            </c:extLst>
          </c:dPt>
          <c:dPt>
            <c:idx val="1"/>
            <c:invertIfNegative val="0"/>
            <c:bubble3D val="0"/>
            <c:extLst>
              <c:ext xmlns:c16="http://schemas.microsoft.com/office/drawing/2014/chart" uri="{C3380CC4-5D6E-409C-BE32-E72D297353CC}">
                <c16:uniqueId val="{00000004-97CC-4EA9-8966-9718B550BCF4}"/>
              </c:ext>
            </c:extLst>
          </c:dPt>
          <c:dLbls>
            <c:dLbl>
              <c:idx val="0"/>
              <c:tx>
                <c:rich>
                  <a:bodyPr/>
                  <a:lstStyle/>
                  <a:p>
                    <a:fld id="{55BCFC07-669B-43FC-8F34-F5D265073BD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7CC-4EA9-8966-9718B550BCF4}"/>
                </c:ext>
              </c:extLst>
            </c:dLbl>
            <c:dLbl>
              <c:idx val="1"/>
              <c:tx>
                <c:rich>
                  <a:bodyPr/>
                  <a:lstStyle/>
                  <a:p>
                    <a:fld id="{96D43520-7AEA-4799-B936-F06CD049A9C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7CC-4EA9-8966-9718B550BCF4}"/>
                </c:ext>
              </c:extLst>
            </c:dLbl>
            <c:spPr>
              <a:noFill/>
              <a:ln>
                <a:noFill/>
              </a:ln>
              <a:effectLst/>
            </c:spPr>
            <c:txPr>
              <a:bodyPr rot="0" spcFirstLastPara="1" vertOverflow="ellipsis" vert="horz" wrap="none" lIns="0" tIns="72000" rIns="0" bIns="144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report'!$C$30,'Pivot report'!$C$29)</c:f>
              <c:strCache>
                <c:ptCount val="2"/>
                <c:pt idx="0">
                  <c:v>Admitted</c:v>
                </c:pt>
                <c:pt idx="1">
                  <c:v>Not Admitted</c:v>
                </c:pt>
              </c:strCache>
            </c:strRef>
          </c:cat>
          <c:val>
            <c:numRef>
              <c:f>('Pivot report'!$C$30,'Pivot report'!$C$29)</c:f>
              <c:numCache>
                <c:formatCode>0</c:formatCode>
                <c:ptCount val="2"/>
                <c:pt idx="0">
                  <c:v>217</c:v>
                </c:pt>
                <c:pt idx="1">
                  <c:v>252</c:v>
                </c:pt>
              </c:numCache>
            </c:numRef>
          </c:val>
          <c:extLst>
            <c:ext xmlns:c15="http://schemas.microsoft.com/office/drawing/2012/chart" uri="{02D57815-91ED-43cb-92C2-25804820EDAC}">
              <c15:datalabelsRange>
                <c15:f>('Pivot report'!$C$30,'Pivot report'!$C$29)</c15:f>
                <c15:dlblRangeCache>
                  <c:ptCount val="2"/>
                  <c:pt idx="0">
                    <c:v>53.73%</c:v>
                  </c:pt>
                  <c:pt idx="1">
                    <c:v>46.27%</c:v>
                  </c:pt>
                </c15:dlblRangeCache>
              </c15:datalabelsRange>
            </c:ext>
            <c:ext xmlns:c16="http://schemas.microsoft.com/office/drawing/2014/chart" uri="{C3380CC4-5D6E-409C-BE32-E72D297353CC}">
              <c16:uniqueId val="{00000000-97CC-4EA9-8966-9718B550BCF4}"/>
            </c:ext>
          </c:extLst>
        </c:ser>
        <c:ser>
          <c:idx val="1"/>
          <c:order val="1"/>
          <c:tx>
            <c:strRef>
              <c:f>('Pivot report'!$C$30,'Pivot report'!$C$29)</c:f>
              <c:strCache>
                <c:ptCount val="1"/>
                <c:pt idx="0">
                  <c:v>Count of Patient Admission Flag</c:v>
                </c:pt>
              </c:strCache>
            </c:strRef>
          </c:tx>
          <c:spPr>
            <a:solidFill>
              <a:schemeClr val="accent2"/>
            </a:solidFill>
            <a:ln>
              <a:noFill/>
            </a:ln>
            <a:effectLst/>
          </c:spPr>
          <c:invertIfNegative val="0"/>
          <c:cat>
            <c:strRef>
              <c:f>('Pivot report'!$C$30,'Pivot report'!$C$29)</c:f>
              <c:strCache>
                <c:ptCount val="2"/>
                <c:pt idx="0">
                  <c:v>Admitted</c:v>
                </c:pt>
                <c:pt idx="1">
                  <c:v>Not Admitted</c:v>
                </c:pt>
              </c:strCache>
            </c:strRef>
          </c:cat>
          <c:val>
            <c:numRef>
              <c:f>('Pivot report'!$C$30,'Pivot report'!$C$29)</c:f>
              <c:numCache>
                <c:formatCode>0.00%</c:formatCode>
                <c:ptCount val="2"/>
                <c:pt idx="0">
                  <c:v>0.46268656716417911</c:v>
                </c:pt>
                <c:pt idx="1">
                  <c:v>0.53731343283582089</c:v>
                </c:pt>
              </c:numCache>
            </c:numRef>
          </c:val>
          <c:extLst>
            <c:ext xmlns:c16="http://schemas.microsoft.com/office/drawing/2014/chart" uri="{C3380CC4-5D6E-409C-BE32-E72D297353CC}">
              <c16:uniqueId val="{00000001-97CC-4EA9-8966-9718B550BCF4}"/>
            </c:ext>
          </c:extLst>
        </c:ser>
        <c:dLbls>
          <c:showLegendKey val="0"/>
          <c:showVal val="0"/>
          <c:showCatName val="0"/>
          <c:showSerName val="0"/>
          <c:showPercent val="0"/>
          <c:showBubbleSize val="0"/>
        </c:dLbls>
        <c:gapWidth val="0"/>
        <c:axId val="204551327"/>
        <c:axId val="204559967"/>
      </c:barChart>
      <c:catAx>
        <c:axId val="204551327"/>
        <c:scaling>
          <c:orientation val="minMax"/>
        </c:scaling>
        <c:delete val="1"/>
        <c:axPos val="l"/>
        <c:numFmt formatCode="General" sourceLinked="1"/>
        <c:majorTickMark val="none"/>
        <c:minorTickMark val="none"/>
        <c:tickLblPos val="nextTo"/>
        <c:crossAx val="204559967"/>
        <c:crosses val="autoZero"/>
        <c:auto val="1"/>
        <c:lblAlgn val="ctr"/>
        <c:lblOffset val="0"/>
        <c:noMultiLvlLbl val="0"/>
      </c:catAx>
      <c:valAx>
        <c:axId val="204559967"/>
        <c:scaling>
          <c:orientation val="minMax"/>
        </c:scaling>
        <c:delete val="1"/>
        <c:axPos val="b"/>
        <c:numFmt formatCode="0" sourceLinked="1"/>
        <c:majorTickMark val="none"/>
        <c:minorTickMark val="none"/>
        <c:tickLblPos val="nextTo"/>
        <c:crossAx val="20455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 Excel 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091204623749845E-2"/>
          <c:y val="0.10264077064643265"/>
          <c:w val="0.83617358082038307"/>
          <c:h val="0.52980460775736371"/>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4-3F10-48CB-942A-1760FDF62454}"/>
            </c:ext>
          </c:extLst>
        </c:ser>
        <c:dLbls>
          <c:showLegendKey val="0"/>
          <c:showVal val="0"/>
          <c:showCatName val="0"/>
          <c:showSerName val="0"/>
          <c:showPercent val="0"/>
          <c:showBubbleSize val="0"/>
        </c:dLbls>
        <c:axId val="324568544"/>
        <c:axId val="324552224"/>
      </c:areaChart>
      <c:catAx>
        <c:axId val="324568544"/>
        <c:scaling>
          <c:orientation val="minMax"/>
        </c:scaling>
        <c:delete val="1"/>
        <c:axPos val="b"/>
        <c:numFmt formatCode="General" sourceLinked="1"/>
        <c:majorTickMark val="out"/>
        <c:minorTickMark val="none"/>
        <c:tickLblPos val="nextTo"/>
        <c:crossAx val="324552224"/>
        <c:crosses val="autoZero"/>
        <c:auto val="1"/>
        <c:lblAlgn val="ctr"/>
        <c:lblOffset val="100"/>
        <c:noMultiLvlLbl val="0"/>
      </c:catAx>
      <c:valAx>
        <c:axId val="324552224"/>
        <c:scaling>
          <c:orientation val="minMax"/>
        </c:scaling>
        <c:delete val="1"/>
        <c:axPos val="l"/>
        <c:numFmt formatCode="General" sourceLinked="1"/>
        <c:majorTickMark val="none"/>
        <c:minorTickMark val="none"/>
        <c:tickLblPos val="nextTo"/>
        <c:crossAx val="324568544"/>
        <c:crosses val="autoZero"/>
        <c:crossBetween val="midCat"/>
      </c:valAx>
      <c:spPr>
        <a:noFill/>
        <a:ln w="25400">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 Excel Dashboard.xlsx]Pivot report!PivotTable5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19052243185761"/>
          <c:y val="0.24966714026575162"/>
          <c:w val="0.84428565122928523"/>
          <c:h val="0.50066571946849669"/>
        </c:manualLayout>
      </c:layout>
      <c:areaChart>
        <c:grouping val="standard"/>
        <c:varyColors val="0"/>
        <c:ser>
          <c:idx val="0"/>
          <c:order val="0"/>
          <c:tx>
            <c:strRef>
              <c:f>'Pivot report'!$M$4</c:f>
              <c:strCache>
                <c:ptCount val="1"/>
                <c:pt idx="0">
                  <c:v>Total</c:v>
                </c:pt>
              </c:strCache>
            </c:strRef>
          </c:tx>
          <c:spPr>
            <a:solidFill>
              <a:schemeClr val="accent1"/>
            </a:solidFill>
            <a:ln>
              <a:noFill/>
            </a:ln>
            <a:effectLst/>
          </c:spPr>
          <c:cat>
            <c:strRef>
              <c:f>'Pivot report'!$L$5:$L$35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report'!$M$5:$M$35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8674-45D7-AEF4-ACE6DAD8E4A9}"/>
            </c:ext>
          </c:extLst>
        </c:ser>
        <c:dLbls>
          <c:showLegendKey val="0"/>
          <c:showVal val="0"/>
          <c:showCatName val="0"/>
          <c:showSerName val="0"/>
          <c:showPercent val="0"/>
          <c:showBubbleSize val="0"/>
        </c:dLbls>
        <c:axId val="1221044799"/>
        <c:axId val="1221045279"/>
      </c:areaChart>
      <c:catAx>
        <c:axId val="1221044799"/>
        <c:scaling>
          <c:orientation val="minMax"/>
        </c:scaling>
        <c:delete val="1"/>
        <c:axPos val="b"/>
        <c:numFmt formatCode="General" sourceLinked="1"/>
        <c:majorTickMark val="out"/>
        <c:minorTickMark val="none"/>
        <c:tickLblPos val="nextTo"/>
        <c:crossAx val="1221045279"/>
        <c:crosses val="autoZero"/>
        <c:auto val="1"/>
        <c:lblAlgn val="ctr"/>
        <c:lblOffset val="100"/>
        <c:noMultiLvlLbl val="0"/>
      </c:catAx>
      <c:valAx>
        <c:axId val="1221045279"/>
        <c:scaling>
          <c:orientation val="minMax"/>
        </c:scaling>
        <c:delete val="1"/>
        <c:axPos val="l"/>
        <c:numFmt formatCode="0.00" sourceLinked="1"/>
        <c:majorTickMark val="none"/>
        <c:minorTickMark val="none"/>
        <c:tickLblPos val="nextTo"/>
        <c:crossAx val="1221044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 Excel Dashboard.xlsx]Pivot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31298826862726E-2"/>
          <c:y val="4.7130467988463608E-3"/>
          <c:w val="0.87961857096816998"/>
          <c:h val="0.69868668807709478"/>
        </c:manualLayout>
      </c:layout>
      <c:areaChart>
        <c:grouping val="standard"/>
        <c:varyColors val="0"/>
        <c:ser>
          <c:idx val="0"/>
          <c:order val="0"/>
          <c:tx>
            <c:strRef>
              <c:f>'Pivot report'!$R$4</c:f>
              <c:strCache>
                <c:ptCount val="1"/>
                <c:pt idx="0">
                  <c:v>Total</c:v>
                </c:pt>
              </c:strCache>
            </c:strRef>
          </c:tx>
          <c:spPr>
            <a:solidFill>
              <a:schemeClr val="accent1"/>
            </a:solidFill>
            <a:ln>
              <a:noFill/>
            </a:ln>
            <a:effectLst/>
          </c:spPr>
          <c:cat>
            <c:strRef>
              <c:f>'Pivot report'!$Q$5:$Q$32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report'!$R$5:$R$32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11E7-4955-A9E7-3F6DFBDDE6C9}"/>
            </c:ext>
          </c:extLst>
        </c:ser>
        <c:dLbls>
          <c:showLegendKey val="0"/>
          <c:showVal val="0"/>
          <c:showCatName val="0"/>
          <c:showSerName val="0"/>
          <c:showPercent val="0"/>
          <c:showBubbleSize val="0"/>
        </c:dLbls>
        <c:axId val="1220993439"/>
        <c:axId val="1220991999"/>
      </c:areaChart>
      <c:catAx>
        <c:axId val="1220993439"/>
        <c:scaling>
          <c:orientation val="minMax"/>
        </c:scaling>
        <c:delete val="1"/>
        <c:axPos val="b"/>
        <c:numFmt formatCode="General" sourceLinked="1"/>
        <c:majorTickMark val="out"/>
        <c:minorTickMark val="none"/>
        <c:tickLblPos val="nextTo"/>
        <c:crossAx val="1220991999"/>
        <c:crosses val="autoZero"/>
        <c:auto val="1"/>
        <c:lblAlgn val="ctr"/>
        <c:lblOffset val="100"/>
        <c:noMultiLvlLbl val="0"/>
      </c:catAx>
      <c:valAx>
        <c:axId val="1220991999"/>
        <c:scaling>
          <c:orientation val="minMax"/>
        </c:scaling>
        <c:delete val="1"/>
        <c:axPos val="l"/>
        <c:numFmt formatCode="0.00" sourceLinked="1"/>
        <c:majorTickMark val="none"/>
        <c:minorTickMark val="none"/>
        <c:tickLblPos val="nextTo"/>
        <c:crossAx val="1220993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 Excel Dashboard.xlsx]Pivot report!PivotTable8</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report'!$A$44:$A$52</c:f>
              <c:strCache>
                <c:ptCount val="8"/>
                <c:pt idx="0">
                  <c:v>0-09</c:v>
                </c:pt>
                <c:pt idx="1">
                  <c:v>10-19</c:v>
                </c:pt>
                <c:pt idx="2">
                  <c:v>20-29</c:v>
                </c:pt>
                <c:pt idx="3">
                  <c:v>30-39</c:v>
                </c:pt>
                <c:pt idx="4">
                  <c:v>40-49</c:v>
                </c:pt>
                <c:pt idx="5">
                  <c:v>50-59</c:v>
                </c:pt>
                <c:pt idx="6">
                  <c:v>60-69</c:v>
                </c:pt>
                <c:pt idx="7">
                  <c:v>70-79</c:v>
                </c:pt>
              </c:strCache>
            </c:strRef>
          </c:cat>
          <c:val>
            <c:numRef>
              <c:f>'Pivot report'!$B$44:$B$52</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0-7CC1-4773-B497-4CA91D5C997E}"/>
            </c:ext>
          </c:extLst>
        </c:ser>
        <c:dLbls>
          <c:showLegendKey val="0"/>
          <c:showVal val="0"/>
          <c:showCatName val="0"/>
          <c:showSerName val="0"/>
          <c:showPercent val="0"/>
          <c:showBubbleSize val="0"/>
        </c:dLbls>
        <c:gapWidth val="219"/>
        <c:overlap val="-27"/>
        <c:axId val="204451967"/>
        <c:axId val="204455807"/>
      </c:barChart>
      <c:catAx>
        <c:axId val="20445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5807"/>
        <c:crosses val="autoZero"/>
        <c:auto val="1"/>
        <c:lblAlgn val="ctr"/>
        <c:lblOffset val="100"/>
        <c:noMultiLvlLbl val="0"/>
      </c:catAx>
      <c:valAx>
        <c:axId val="204455807"/>
        <c:scaling>
          <c:orientation val="minMax"/>
        </c:scaling>
        <c:delete val="1"/>
        <c:axPos val="l"/>
        <c:numFmt formatCode="0" sourceLinked="1"/>
        <c:majorTickMark val="none"/>
        <c:minorTickMark val="none"/>
        <c:tickLblPos val="nextTo"/>
        <c:crossAx val="20445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 Excel Dashboard.xlsx]Pivot report!PivotTable9</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9.57202963383329E-2"/>
          <c:y val="0.17641451310345999"/>
          <c:w val="0.68071103317589166"/>
          <c:h val="0.63696227965057439"/>
        </c:manualLayout>
      </c:layout>
      <c:pieChart>
        <c:varyColors val="1"/>
        <c:ser>
          <c:idx val="0"/>
          <c:order val="0"/>
          <c:tx>
            <c:strRef>
              <c:f>'Pivot report'!$B$57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2C5-41D3-B8A5-D4130D5480D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2C5-41D3-B8A5-D4130D5480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report'!$A$58:$A$60</c:f>
              <c:strCache>
                <c:ptCount val="2"/>
                <c:pt idx="0">
                  <c:v>Delay</c:v>
                </c:pt>
                <c:pt idx="1">
                  <c:v>Ontime</c:v>
                </c:pt>
              </c:strCache>
            </c:strRef>
          </c:cat>
          <c:val>
            <c:numRef>
              <c:f>'Pivot report'!$B$58:$B$60</c:f>
              <c:numCache>
                <c:formatCode>0</c:formatCode>
                <c:ptCount val="2"/>
                <c:pt idx="0">
                  <c:v>268</c:v>
                </c:pt>
                <c:pt idx="1">
                  <c:v>201</c:v>
                </c:pt>
              </c:numCache>
            </c:numRef>
          </c:val>
          <c:extLst>
            <c:ext xmlns:c16="http://schemas.microsoft.com/office/drawing/2014/chart" uri="{C3380CC4-5D6E-409C-BE32-E72D297353CC}">
              <c16:uniqueId val="{00000004-52C5-41D3-B8A5-D4130D5480D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8836000939972328"/>
          <c:y val="4.2749778380351461E-2"/>
          <c:w val="0.57317700645270131"/>
          <c:h val="9.41463166764764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 Excel Dashboard.xlsx]Pivot report!PivotTable10</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891230639685398"/>
          <c:y val="0.18911372424176101"/>
          <c:w val="0.67250947300529396"/>
          <c:h val="0.66388772823441233"/>
        </c:manualLayout>
      </c:layout>
      <c:doughnutChart>
        <c:varyColors val="1"/>
        <c:ser>
          <c:idx val="0"/>
          <c:order val="0"/>
          <c:tx>
            <c:strRef>
              <c:f>'Pivot report'!$B$63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8C6-488B-9237-84E1FB69F00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8C6-488B-9237-84E1FB69F0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Female</c:v>
                </c:pt>
                <c:pt idx="1">
                  <c:v>Male</c:v>
                </c:pt>
              </c:strCache>
            </c:strRef>
          </c:cat>
          <c:val>
            <c:numRef>
              <c:f>'Pivot report'!$B$64:$B$66</c:f>
              <c:numCache>
                <c:formatCode>0</c:formatCode>
                <c:ptCount val="2"/>
                <c:pt idx="0">
                  <c:v>241</c:v>
                </c:pt>
                <c:pt idx="1">
                  <c:v>228</c:v>
                </c:pt>
              </c:numCache>
            </c:numRef>
          </c:val>
          <c:extLst>
            <c:ext xmlns:c16="http://schemas.microsoft.com/office/drawing/2014/chart" uri="{C3380CC4-5D6E-409C-BE32-E72D297353CC}">
              <c16:uniqueId val="{00000004-E8C6-488B-9237-84E1FB69F00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17131247032687469"/>
          <c:y val="4.4628822698422152E-2"/>
          <c:w val="0.63670800748882495"/>
          <c:h val="0.117573193082057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 Excel Dashboard.xlsx]Pivot report!PivotTable11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32034811438039"/>
          <c:y val="6.7024158162939954E-2"/>
          <c:w val="0.68177189863151655"/>
          <c:h val="0.8771223767012768"/>
        </c:manualLayout>
      </c:layout>
      <c:barChart>
        <c:barDir val="bar"/>
        <c:grouping val="clustered"/>
        <c:varyColors val="0"/>
        <c:ser>
          <c:idx val="0"/>
          <c:order val="0"/>
          <c:tx>
            <c:strRef>
              <c:f>'Pivot report'!$B$69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report'!$A$70:$A$78</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report'!$B$70:$B$78</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0-065E-4C37-9F6A-FED725EA65DB}"/>
            </c:ext>
          </c:extLst>
        </c:ser>
        <c:dLbls>
          <c:showLegendKey val="0"/>
          <c:showVal val="0"/>
          <c:showCatName val="0"/>
          <c:showSerName val="0"/>
          <c:showPercent val="0"/>
          <c:showBubbleSize val="0"/>
        </c:dLbls>
        <c:gapWidth val="182"/>
        <c:axId val="204508127"/>
        <c:axId val="204511967"/>
      </c:barChart>
      <c:catAx>
        <c:axId val="20450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1967"/>
        <c:crosses val="autoZero"/>
        <c:auto val="1"/>
        <c:lblAlgn val="ctr"/>
        <c:lblOffset val="100"/>
        <c:noMultiLvlLbl val="0"/>
      </c:catAx>
      <c:valAx>
        <c:axId val="204511967"/>
        <c:scaling>
          <c:orientation val="minMax"/>
        </c:scaling>
        <c:delete val="1"/>
        <c:axPos val="b"/>
        <c:numFmt formatCode="0" sourceLinked="1"/>
        <c:majorTickMark val="none"/>
        <c:minorTickMark val="none"/>
        <c:tickLblPos val="nextTo"/>
        <c:crossAx val="20450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 Excel Dashboard.xlsx]Pivot report!PivotTable5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19910011248595E-2"/>
          <c:y val="3.7174103237095388E-3"/>
          <c:w val="0.88457082864641923"/>
          <c:h val="0.80399755866913691"/>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report'!$L$5:$L$35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report'!$M$5:$M$35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3F21-437D-92F6-57ABE8E781E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21044799"/>
        <c:axId val="1221045279"/>
      </c:areaChart>
      <c:catAx>
        <c:axId val="1221044799"/>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1045279"/>
        <c:crosses val="autoZero"/>
        <c:auto val="1"/>
        <c:lblAlgn val="ctr"/>
        <c:lblOffset val="100"/>
        <c:noMultiLvlLbl val="0"/>
      </c:catAx>
      <c:valAx>
        <c:axId val="1221045279"/>
        <c:scaling>
          <c:orientation val="minMax"/>
        </c:scaling>
        <c:delete val="1"/>
        <c:axPos val="l"/>
        <c:numFmt formatCode="0.00" sourceLinked="1"/>
        <c:majorTickMark val="out"/>
        <c:minorTickMark val="none"/>
        <c:tickLblPos val="nextTo"/>
        <c:crossAx val="1221044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[ER Excel Dashboard.xlsx]Pivot report!PivotTable4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373388395459344E-2"/>
          <c:y val="8.9083436938803703E-2"/>
          <c:w val="0.83617358082038307"/>
          <c:h val="0.52980460775736371"/>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B30B-48CD-9A56-6FA11672F33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24568544"/>
        <c:axId val="324552224"/>
      </c:areaChart>
      <c:catAx>
        <c:axId val="324568544"/>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24552224"/>
        <c:crosses val="autoZero"/>
        <c:auto val="1"/>
        <c:lblAlgn val="ctr"/>
        <c:lblOffset val="100"/>
        <c:noMultiLvlLbl val="0"/>
      </c:catAx>
      <c:valAx>
        <c:axId val="324552224"/>
        <c:scaling>
          <c:orientation val="minMax"/>
        </c:scaling>
        <c:delete val="1"/>
        <c:axPos val="l"/>
        <c:numFmt formatCode="General" sourceLinked="1"/>
        <c:majorTickMark val="out"/>
        <c:minorTickMark val="none"/>
        <c:tickLblPos val="nextTo"/>
        <c:crossAx val="324568544"/>
        <c:crosses val="autoZero"/>
        <c:crossBetween val="midCat"/>
      </c:valAx>
      <c:spPr>
        <a:noFill/>
        <a:ln>
          <a:noFill/>
        </a:ln>
        <a:effectLst/>
      </c:spPr>
    </c:plotArea>
    <c:plotVisOnly val="1"/>
    <c:dispBlanksAs val="zero"/>
    <c:showDLblsOverMax val="0"/>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 Excel Dashboard.xlsx]Pivot report!PivotTable6</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report'!$R$4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report'!$Q$5:$Q$32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report'!$R$5:$R$32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8BD9-4C04-B005-D9340692DCE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20993439"/>
        <c:axId val="1220991999"/>
      </c:areaChart>
      <c:catAx>
        <c:axId val="12209934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0991999"/>
        <c:crosses val="autoZero"/>
        <c:auto val="1"/>
        <c:lblAlgn val="ctr"/>
        <c:lblOffset val="100"/>
        <c:noMultiLvlLbl val="0"/>
      </c:catAx>
      <c:valAx>
        <c:axId val="1220991999"/>
        <c:scaling>
          <c:orientation val="minMax"/>
        </c:scaling>
        <c:delete val="1"/>
        <c:axPos val="l"/>
        <c:numFmt formatCode="0.00" sourceLinked="1"/>
        <c:majorTickMark val="out"/>
        <c:minorTickMark val="none"/>
        <c:tickLblPos val="nextTo"/>
        <c:crossAx val="1220993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19"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Average wait time daily trend'!A1"/><Relationship Id="rId1" Type="http://schemas.openxmlformats.org/officeDocument/2006/relationships/chart" Target="../charts/chart9.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1</xdr:colOff>
      <xdr:row>37</xdr:row>
      <xdr:rowOff>53662</xdr:rowOff>
    </xdr:from>
    <xdr:to>
      <xdr:col>4</xdr:col>
      <xdr:colOff>1</xdr:colOff>
      <xdr:row>40</xdr:row>
      <xdr:rowOff>42931</xdr:rowOff>
    </xdr:to>
    <xdr:graphicFrame macro="">
      <xdr:nvGraphicFramePr>
        <xdr:cNvPr id="4" name="Chart 3">
          <a:extLst>
            <a:ext uri="{FF2B5EF4-FFF2-40B4-BE49-F238E27FC236}">
              <a16:creationId xmlns:a16="http://schemas.microsoft.com/office/drawing/2014/main" id="{25948D93-2B35-A4FD-9D6F-1CAF7CE8B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69868</xdr:colOff>
      <xdr:row>0</xdr:row>
      <xdr:rowOff>65048</xdr:rowOff>
    </xdr:from>
    <xdr:to>
      <xdr:col>6</xdr:col>
      <xdr:colOff>41989</xdr:colOff>
      <xdr:row>4</xdr:row>
      <xdr:rowOff>9292</xdr:rowOff>
    </xdr:to>
    <xdr:sp macro="" textlink="">
      <xdr:nvSpPr>
        <xdr:cNvPr id="2" name="Rectangle: Rounded Corners 1">
          <a:extLst>
            <a:ext uri="{FF2B5EF4-FFF2-40B4-BE49-F238E27FC236}">
              <a16:creationId xmlns:a16="http://schemas.microsoft.com/office/drawing/2014/main" id="{87C8513D-FC20-66EA-5559-82CEF199B0BA}"/>
            </a:ext>
          </a:extLst>
        </xdr:cNvPr>
        <xdr:cNvSpPr/>
      </xdr:nvSpPr>
      <xdr:spPr>
        <a:xfrm>
          <a:off x="69868" y="65048"/>
          <a:ext cx="3643576" cy="683153"/>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87354</xdr:colOff>
      <xdr:row>0</xdr:row>
      <xdr:rowOff>60740</xdr:rowOff>
    </xdr:from>
    <xdr:to>
      <xdr:col>8</xdr:col>
      <xdr:colOff>83635</xdr:colOff>
      <xdr:row>4</xdr:row>
      <xdr:rowOff>4984</xdr:rowOff>
    </xdr:to>
    <xdr:sp macro="" textlink="">
      <xdr:nvSpPr>
        <xdr:cNvPr id="3" name="Rectangle: Rounded Corners 2">
          <a:extLst>
            <a:ext uri="{FF2B5EF4-FFF2-40B4-BE49-F238E27FC236}">
              <a16:creationId xmlns:a16="http://schemas.microsoft.com/office/drawing/2014/main" id="{5D6689CD-EA1D-4CB2-811D-F06E2ABFEA9A}"/>
            </a:ext>
          </a:extLst>
        </xdr:cNvPr>
        <xdr:cNvSpPr/>
      </xdr:nvSpPr>
      <xdr:spPr>
        <a:xfrm>
          <a:off x="3758809" y="60740"/>
          <a:ext cx="1220099" cy="683153"/>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139390</xdr:colOff>
      <xdr:row>0</xdr:row>
      <xdr:rowOff>74340</xdr:rowOff>
    </xdr:from>
    <xdr:to>
      <xdr:col>14</xdr:col>
      <xdr:colOff>55756</xdr:colOff>
      <xdr:row>10</xdr:row>
      <xdr:rowOff>83634</xdr:rowOff>
    </xdr:to>
    <xdr:grpSp>
      <xdr:nvGrpSpPr>
        <xdr:cNvPr id="15" name="Group 14">
          <a:extLst>
            <a:ext uri="{FF2B5EF4-FFF2-40B4-BE49-F238E27FC236}">
              <a16:creationId xmlns:a16="http://schemas.microsoft.com/office/drawing/2014/main" id="{87A6884F-0849-8439-E902-39C7367FFA90}"/>
            </a:ext>
          </a:extLst>
        </xdr:cNvPr>
        <xdr:cNvGrpSpPr/>
      </xdr:nvGrpSpPr>
      <xdr:grpSpPr>
        <a:xfrm>
          <a:off x="5016190" y="74340"/>
          <a:ext cx="3573966" cy="1838094"/>
          <a:chOff x="5045927" y="59471"/>
          <a:chExt cx="3572107" cy="1882700"/>
        </a:xfrm>
      </xdr:grpSpPr>
      <xdr:sp macro="" textlink="">
        <xdr:nvSpPr>
          <xdr:cNvPr id="4" name="Rectangle: Rounded Corners 3">
            <a:extLst>
              <a:ext uri="{FF2B5EF4-FFF2-40B4-BE49-F238E27FC236}">
                <a16:creationId xmlns:a16="http://schemas.microsoft.com/office/drawing/2014/main" id="{A594BDC7-B548-4515-BE1B-BA6FBBD8A30E}"/>
              </a:ext>
            </a:extLst>
          </xdr:cNvPr>
          <xdr:cNvSpPr/>
        </xdr:nvSpPr>
        <xdr:spPr>
          <a:xfrm>
            <a:off x="5045927" y="59472"/>
            <a:ext cx="1756317" cy="1882699"/>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DA082BD5-C9F9-4ABB-91C6-52CF9209DA3D}"/>
              </a:ext>
            </a:extLst>
          </xdr:cNvPr>
          <xdr:cNvSpPr/>
        </xdr:nvSpPr>
        <xdr:spPr>
          <a:xfrm>
            <a:off x="6861717" y="59471"/>
            <a:ext cx="1756317" cy="1873332"/>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grpSp>
    <xdr:clientData/>
  </xdr:twoCellAnchor>
  <xdr:twoCellAnchor editAs="absolute">
    <xdr:from>
      <xdr:col>0</xdr:col>
      <xdr:colOff>55757</xdr:colOff>
      <xdr:row>4</xdr:row>
      <xdr:rowOff>92928</xdr:rowOff>
    </xdr:from>
    <xdr:to>
      <xdr:col>2</xdr:col>
      <xdr:colOff>9293</xdr:colOff>
      <xdr:row>24</xdr:row>
      <xdr:rowOff>46464</xdr:rowOff>
    </xdr:to>
    <xdr:sp macro="" textlink="">
      <xdr:nvSpPr>
        <xdr:cNvPr id="6" name="Rectangle: Rounded Corners 5">
          <a:extLst>
            <a:ext uri="{FF2B5EF4-FFF2-40B4-BE49-F238E27FC236}">
              <a16:creationId xmlns:a16="http://schemas.microsoft.com/office/drawing/2014/main" id="{F3FF35C0-8BBB-4308-8FAC-2D127B5BD46A}"/>
            </a:ext>
          </a:extLst>
        </xdr:cNvPr>
        <xdr:cNvSpPr/>
      </xdr:nvSpPr>
      <xdr:spPr>
        <a:xfrm>
          <a:off x="55757" y="836343"/>
          <a:ext cx="1180170" cy="3670609"/>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112887</xdr:colOff>
      <xdr:row>4</xdr:row>
      <xdr:rowOff>83634</xdr:rowOff>
    </xdr:from>
    <xdr:to>
      <xdr:col>8</xdr:col>
      <xdr:colOff>42334</xdr:colOff>
      <xdr:row>10</xdr:row>
      <xdr:rowOff>148683</xdr:rowOff>
    </xdr:to>
    <xdr:grpSp>
      <xdr:nvGrpSpPr>
        <xdr:cNvPr id="14" name="Group 13">
          <a:extLst>
            <a:ext uri="{FF2B5EF4-FFF2-40B4-BE49-F238E27FC236}">
              <a16:creationId xmlns:a16="http://schemas.microsoft.com/office/drawing/2014/main" id="{038F9511-21FF-2E48-E9BC-AD7B341370B6}"/>
            </a:ext>
          </a:extLst>
        </xdr:cNvPr>
        <xdr:cNvGrpSpPr/>
      </xdr:nvGrpSpPr>
      <xdr:grpSpPr>
        <a:xfrm>
          <a:off x="1332087" y="815154"/>
          <a:ext cx="3587047" cy="1162329"/>
          <a:chOff x="1293544" y="847492"/>
          <a:chExt cx="3696626" cy="1011046"/>
        </a:xfrm>
      </xdr:grpSpPr>
      <xdr:sp macro="" textlink="">
        <xdr:nvSpPr>
          <xdr:cNvPr id="8" name="Rectangle: Rounded Corners 7">
            <a:extLst>
              <a:ext uri="{FF2B5EF4-FFF2-40B4-BE49-F238E27FC236}">
                <a16:creationId xmlns:a16="http://schemas.microsoft.com/office/drawing/2014/main" id="{7C3AEE29-C612-4770-8B56-4EF3D3A3694E}"/>
              </a:ext>
            </a:extLst>
          </xdr:cNvPr>
          <xdr:cNvSpPr/>
        </xdr:nvSpPr>
        <xdr:spPr>
          <a:xfrm>
            <a:off x="1293544" y="856786"/>
            <a:ext cx="1187603" cy="1001752"/>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4C7E940-A9EC-7FA5-045E-ABF2F3110461}"/>
              </a:ext>
            </a:extLst>
          </xdr:cNvPr>
          <xdr:cNvSpPr/>
        </xdr:nvSpPr>
        <xdr:spPr>
          <a:xfrm>
            <a:off x="2548055" y="856786"/>
            <a:ext cx="1187603" cy="1001752"/>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3D56E02B-AB5B-174B-1FE4-EC3566A3C6BF}"/>
              </a:ext>
            </a:extLst>
          </xdr:cNvPr>
          <xdr:cNvSpPr/>
        </xdr:nvSpPr>
        <xdr:spPr>
          <a:xfrm>
            <a:off x="3802567" y="847492"/>
            <a:ext cx="1187603" cy="1001752"/>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grpSp>
    <xdr:clientData/>
  </xdr:twoCellAnchor>
  <xdr:twoCellAnchor editAs="absolute">
    <xdr:from>
      <xdr:col>2</xdr:col>
      <xdr:colOff>98777</xdr:colOff>
      <xdr:row>15</xdr:row>
      <xdr:rowOff>127000</xdr:rowOff>
    </xdr:from>
    <xdr:to>
      <xdr:col>8</xdr:col>
      <xdr:colOff>42335</xdr:colOff>
      <xdr:row>24</xdr:row>
      <xdr:rowOff>46464</xdr:rowOff>
    </xdr:to>
    <xdr:sp macro="" textlink="">
      <xdr:nvSpPr>
        <xdr:cNvPr id="12" name="Rectangle: Rounded Corners 11">
          <a:extLst>
            <a:ext uri="{FF2B5EF4-FFF2-40B4-BE49-F238E27FC236}">
              <a16:creationId xmlns:a16="http://schemas.microsoft.com/office/drawing/2014/main" id="{E227F977-6B0C-94C4-E2B3-AC5D53E3645A}"/>
            </a:ext>
          </a:extLst>
        </xdr:cNvPr>
        <xdr:cNvSpPr/>
      </xdr:nvSpPr>
      <xdr:spPr>
        <a:xfrm>
          <a:off x="1315181" y="2853422"/>
          <a:ext cx="3592769" cy="1555317"/>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135674</xdr:colOff>
      <xdr:row>11</xdr:row>
      <xdr:rowOff>3717</xdr:rowOff>
    </xdr:from>
    <xdr:to>
      <xdr:col>14</xdr:col>
      <xdr:colOff>46463</xdr:colOff>
      <xdr:row>24</xdr:row>
      <xdr:rowOff>37171</xdr:rowOff>
    </xdr:to>
    <xdr:sp macro="" textlink="">
      <xdr:nvSpPr>
        <xdr:cNvPr id="18" name="Rectangle: Rounded Corners 17">
          <a:extLst>
            <a:ext uri="{FF2B5EF4-FFF2-40B4-BE49-F238E27FC236}">
              <a16:creationId xmlns:a16="http://schemas.microsoft.com/office/drawing/2014/main" id="{3FB46BA6-7B9C-458A-997E-EDEB81F5F27C}"/>
            </a:ext>
          </a:extLst>
        </xdr:cNvPr>
        <xdr:cNvSpPr/>
      </xdr:nvSpPr>
      <xdr:spPr>
        <a:xfrm>
          <a:off x="5042211" y="2048107"/>
          <a:ext cx="3590691" cy="2449552"/>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163946</xdr:colOff>
      <xdr:row>0</xdr:row>
      <xdr:rowOff>150322</xdr:rowOff>
    </xdr:from>
    <xdr:to>
      <xdr:col>5</xdr:col>
      <xdr:colOff>428105</xdr:colOff>
      <xdr:row>2</xdr:row>
      <xdr:rowOff>46181</xdr:rowOff>
    </xdr:to>
    <xdr:sp macro="" textlink="">
      <xdr:nvSpPr>
        <xdr:cNvPr id="26" name="TextBox 25">
          <a:extLst>
            <a:ext uri="{FF2B5EF4-FFF2-40B4-BE49-F238E27FC236}">
              <a16:creationId xmlns:a16="http://schemas.microsoft.com/office/drawing/2014/main" id="{B2DD10B6-511A-3C03-D70C-4FD3DD3FF067}"/>
            </a:ext>
          </a:extLst>
        </xdr:cNvPr>
        <xdr:cNvSpPr txBox="1"/>
      </xdr:nvSpPr>
      <xdr:spPr>
        <a:xfrm>
          <a:off x="775855" y="150322"/>
          <a:ext cx="2711795" cy="265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Times New Roman" panose="02020603050405020304" pitchFamily="18" charset="0"/>
              <a:cs typeface="Times New Roman" panose="02020603050405020304" pitchFamily="18" charset="0"/>
            </a:rPr>
            <a:t>Hospital Emergency Room Dashboard</a:t>
          </a:r>
        </a:p>
      </xdr:txBody>
    </xdr:sp>
    <xdr:clientData/>
  </xdr:twoCellAnchor>
  <xdr:twoCellAnchor editAs="oneCell">
    <xdr:from>
      <xdr:col>0</xdr:col>
      <xdr:colOff>162560</xdr:colOff>
      <xdr:row>0</xdr:row>
      <xdr:rowOff>111760</xdr:rowOff>
    </xdr:from>
    <xdr:to>
      <xdr:col>1</xdr:col>
      <xdr:colOff>121920</xdr:colOff>
      <xdr:row>3</xdr:row>
      <xdr:rowOff>162560</xdr:rowOff>
    </xdr:to>
    <xdr:pic>
      <xdr:nvPicPr>
        <xdr:cNvPr id="30" name="Picture 29">
          <a:extLst>
            <a:ext uri="{FF2B5EF4-FFF2-40B4-BE49-F238E27FC236}">
              <a16:creationId xmlns:a16="http://schemas.microsoft.com/office/drawing/2014/main" id="{72B1794F-2378-C9EC-330F-ABAE6A259B2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604" t="17442" r="16281" b="13953"/>
        <a:stretch>
          <a:fillRect/>
        </a:stretch>
      </xdr:blipFill>
      <xdr:spPr>
        <a:xfrm>
          <a:off x="162560" y="111760"/>
          <a:ext cx="568960" cy="599440"/>
        </a:xfrm>
        <a:prstGeom prst="rect">
          <a:avLst/>
        </a:prstGeom>
      </xdr:spPr>
    </xdr:pic>
    <xdr:clientData/>
  </xdr:twoCellAnchor>
  <xdr:twoCellAnchor>
    <xdr:from>
      <xdr:col>2</xdr:col>
      <xdr:colOff>178955</xdr:colOff>
      <xdr:row>2</xdr:row>
      <xdr:rowOff>51954</xdr:rowOff>
    </xdr:from>
    <xdr:to>
      <xdr:col>4</xdr:col>
      <xdr:colOff>40410</xdr:colOff>
      <xdr:row>3</xdr:row>
      <xdr:rowOff>75045</xdr:rowOff>
    </xdr:to>
    <xdr:sp macro="" textlink="">
      <xdr:nvSpPr>
        <xdr:cNvPr id="31" name="TextBox 30">
          <a:extLst>
            <a:ext uri="{FF2B5EF4-FFF2-40B4-BE49-F238E27FC236}">
              <a16:creationId xmlns:a16="http://schemas.microsoft.com/office/drawing/2014/main" id="{32057561-6D72-5072-90EF-DA41AEB7635D}"/>
            </a:ext>
          </a:extLst>
        </xdr:cNvPr>
        <xdr:cNvSpPr txBox="1"/>
      </xdr:nvSpPr>
      <xdr:spPr>
        <a:xfrm>
          <a:off x="1402773" y="421409"/>
          <a:ext cx="1085273" cy="20781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Times New Roman" panose="02020603050405020304" pitchFamily="18" charset="0"/>
              <a:cs typeface="Times New Roman" panose="02020603050405020304" pitchFamily="18" charset="0"/>
            </a:rPr>
            <a:t>Monthly Report</a:t>
          </a:r>
        </a:p>
      </xdr:txBody>
    </xdr:sp>
    <xdr:clientData/>
  </xdr:twoCellAnchor>
  <xdr:twoCellAnchor>
    <xdr:from>
      <xdr:col>2</xdr:col>
      <xdr:colOff>181762</xdr:colOff>
      <xdr:row>4</xdr:row>
      <xdr:rowOff>153798</xdr:rowOff>
    </xdr:from>
    <xdr:to>
      <xdr:col>3</xdr:col>
      <xdr:colOff>601212</xdr:colOff>
      <xdr:row>6</xdr:row>
      <xdr:rowOff>34954</xdr:rowOff>
    </xdr:to>
    <xdr:sp macro="" textlink="'Pivot report'!A5">
      <xdr:nvSpPr>
        <xdr:cNvPr id="32" name="TextBox 31">
          <a:extLst>
            <a:ext uri="{FF2B5EF4-FFF2-40B4-BE49-F238E27FC236}">
              <a16:creationId xmlns:a16="http://schemas.microsoft.com/office/drawing/2014/main" id="{AEE70237-A003-4E87-B6F3-A8636E7B0AB6}"/>
            </a:ext>
          </a:extLst>
        </xdr:cNvPr>
        <xdr:cNvSpPr txBox="1"/>
      </xdr:nvSpPr>
      <xdr:spPr>
        <a:xfrm>
          <a:off x="1398166" y="880844"/>
          <a:ext cx="1027652" cy="24467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F1745C-9241-4647-8FF7-C434C57B068D}" type="TxLink">
            <a:rPr lang="en-US" sz="1100" b="0" i="0" u="none" strike="noStrike">
              <a:solidFill>
                <a:srgbClr val="000000"/>
              </a:solidFill>
              <a:latin typeface="Calibri"/>
              <a:ea typeface="Calibri"/>
              <a:cs typeface="Calibri"/>
            </a:rPr>
            <a:pPr algn="ctr"/>
            <a:t>469</a:t>
          </a:fld>
          <a:endParaRPr lang="en-IN" sz="1000">
            <a:latin typeface="Times New Roman" panose="02020603050405020304" pitchFamily="18" charset="0"/>
            <a:cs typeface="Times New Roman" panose="02020603050405020304" pitchFamily="18" charset="0"/>
          </a:endParaRPr>
        </a:p>
      </xdr:txBody>
    </xdr:sp>
    <xdr:clientData/>
  </xdr:twoCellAnchor>
  <xdr:twoCellAnchor>
    <xdr:from>
      <xdr:col>2</xdr:col>
      <xdr:colOff>174769</xdr:colOff>
      <xdr:row>6</xdr:row>
      <xdr:rowOff>83890</xdr:rowOff>
    </xdr:from>
    <xdr:to>
      <xdr:col>4</xdr:col>
      <xdr:colOff>13855</xdr:colOff>
      <xdr:row>7</xdr:row>
      <xdr:rowOff>91019</xdr:rowOff>
    </xdr:to>
    <xdr:sp macro="" textlink="">
      <xdr:nvSpPr>
        <xdr:cNvPr id="33" name="TextBox 32">
          <a:extLst>
            <a:ext uri="{FF2B5EF4-FFF2-40B4-BE49-F238E27FC236}">
              <a16:creationId xmlns:a16="http://schemas.microsoft.com/office/drawing/2014/main" id="{186FD7A9-2083-6FD3-24B6-DCFB0F386F82}"/>
            </a:ext>
          </a:extLst>
        </xdr:cNvPr>
        <xdr:cNvSpPr txBox="1"/>
      </xdr:nvSpPr>
      <xdr:spPr>
        <a:xfrm>
          <a:off x="1391173" y="1174459"/>
          <a:ext cx="1055489" cy="18889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latin typeface="Times New Roman" panose="02020603050405020304" pitchFamily="18" charset="0"/>
              <a:cs typeface="Times New Roman" panose="02020603050405020304" pitchFamily="18" charset="0"/>
            </a:rPr>
            <a:t>No.</a:t>
          </a:r>
          <a:r>
            <a:rPr lang="en-IN" sz="900" baseline="0">
              <a:latin typeface="Times New Roman" panose="02020603050405020304" pitchFamily="18" charset="0"/>
              <a:cs typeface="Times New Roman" panose="02020603050405020304" pitchFamily="18" charset="0"/>
            </a:rPr>
            <a:t> of Patient</a:t>
          </a:r>
          <a:endParaRPr lang="en-IN" sz="900">
            <a:latin typeface="Times New Roman" panose="02020603050405020304" pitchFamily="18" charset="0"/>
            <a:cs typeface="Times New Roman" panose="02020603050405020304" pitchFamily="18" charset="0"/>
          </a:endParaRPr>
        </a:p>
      </xdr:txBody>
    </xdr:sp>
    <xdr:clientData/>
  </xdr:twoCellAnchor>
  <xdr:twoCellAnchor>
    <xdr:from>
      <xdr:col>4</xdr:col>
      <xdr:colOff>174770</xdr:colOff>
      <xdr:row>4</xdr:row>
      <xdr:rowOff>167779</xdr:rowOff>
    </xdr:from>
    <xdr:to>
      <xdr:col>5</xdr:col>
      <xdr:colOff>594219</xdr:colOff>
      <xdr:row>5</xdr:row>
      <xdr:rowOff>181761</xdr:rowOff>
    </xdr:to>
    <xdr:sp macro="" textlink="'Pivot report'!A9">
      <xdr:nvSpPr>
        <xdr:cNvPr id="43" name="TextBox 42">
          <a:extLst>
            <a:ext uri="{FF2B5EF4-FFF2-40B4-BE49-F238E27FC236}">
              <a16:creationId xmlns:a16="http://schemas.microsoft.com/office/drawing/2014/main" id="{9330340B-DCF0-08FE-001F-3FB17FC5CEDA}"/>
            </a:ext>
          </a:extLst>
        </xdr:cNvPr>
        <xdr:cNvSpPr txBox="1"/>
      </xdr:nvSpPr>
      <xdr:spPr>
        <a:xfrm>
          <a:off x="2607577" y="894825"/>
          <a:ext cx="1027651" cy="19574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DADA15-F062-498C-A556-CA1A9C37B1C7}" type="TxLink">
            <a:rPr lang="en-US" sz="1100" b="0" i="0" u="none" strike="noStrike">
              <a:solidFill>
                <a:srgbClr val="000000"/>
              </a:solidFill>
              <a:latin typeface="Calibri"/>
              <a:ea typeface="Calibri"/>
              <a:cs typeface="Calibri"/>
            </a:rPr>
            <a:pPr algn="ctr"/>
            <a:t>35.04</a:t>
          </a:fld>
          <a:endParaRPr lang="en-IN" sz="1000">
            <a:latin typeface="Times New Roman" panose="02020603050405020304" pitchFamily="18" charset="0"/>
            <a:cs typeface="Times New Roman" panose="02020603050405020304" pitchFamily="18" charset="0"/>
          </a:endParaRPr>
        </a:p>
      </xdr:txBody>
    </xdr:sp>
    <xdr:clientData/>
  </xdr:twoCellAnchor>
  <xdr:twoCellAnchor>
    <xdr:from>
      <xdr:col>6</xdr:col>
      <xdr:colOff>195744</xdr:colOff>
      <xdr:row>4</xdr:row>
      <xdr:rowOff>146807</xdr:rowOff>
    </xdr:from>
    <xdr:to>
      <xdr:col>7</xdr:col>
      <xdr:colOff>573248</xdr:colOff>
      <xdr:row>6</xdr:row>
      <xdr:rowOff>20972</xdr:rowOff>
    </xdr:to>
    <xdr:sp macro="" textlink="'Pivot report'!A13">
      <xdr:nvSpPr>
        <xdr:cNvPr id="44" name="TextBox 43">
          <a:extLst>
            <a:ext uri="{FF2B5EF4-FFF2-40B4-BE49-F238E27FC236}">
              <a16:creationId xmlns:a16="http://schemas.microsoft.com/office/drawing/2014/main" id="{9808D85A-2D78-765F-99B7-C57005B04E1E}"/>
            </a:ext>
          </a:extLst>
        </xdr:cNvPr>
        <xdr:cNvSpPr txBox="1"/>
      </xdr:nvSpPr>
      <xdr:spPr>
        <a:xfrm>
          <a:off x="3844955" y="873853"/>
          <a:ext cx="985706" cy="2376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A01FBB-65E4-47BF-A8C4-355173EFFD6A}" type="TxLink">
            <a:rPr lang="en-US" sz="1100" b="0" i="0" u="none" strike="noStrike">
              <a:solidFill>
                <a:srgbClr val="000000"/>
              </a:solidFill>
              <a:latin typeface="Calibri"/>
              <a:ea typeface="Calibri"/>
              <a:cs typeface="Calibri"/>
            </a:rPr>
            <a:pPr algn="ctr"/>
            <a:t>4.63</a:t>
          </a:fld>
          <a:endParaRPr lang="en-IN" sz="1000">
            <a:latin typeface="Times New Roman" panose="02020603050405020304" pitchFamily="18" charset="0"/>
            <a:cs typeface="Times New Roman" panose="02020603050405020304" pitchFamily="18" charset="0"/>
          </a:endParaRPr>
        </a:p>
      </xdr:txBody>
    </xdr:sp>
    <xdr:clientData/>
  </xdr:twoCellAnchor>
  <xdr:twoCellAnchor>
    <xdr:from>
      <xdr:col>4</xdr:col>
      <xdr:colOff>122447</xdr:colOff>
      <xdr:row>6</xdr:row>
      <xdr:rowOff>46955</xdr:rowOff>
    </xdr:from>
    <xdr:to>
      <xdr:col>6</xdr:col>
      <xdr:colOff>26620</xdr:colOff>
      <xdr:row>7</xdr:row>
      <xdr:rowOff>61965</xdr:rowOff>
    </xdr:to>
    <xdr:sp macro="" textlink="">
      <xdr:nvSpPr>
        <xdr:cNvPr id="45" name="TextBox 44">
          <a:extLst>
            <a:ext uri="{FF2B5EF4-FFF2-40B4-BE49-F238E27FC236}">
              <a16:creationId xmlns:a16="http://schemas.microsoft.com/office/drawing/2014/main" id="{AE8255DF-1565-4DE2-9100-FEB01502FD41}"/>
            </a:ext>
          </a:extLst>
        </xdr:cNvPr>
        <xdr:cNvSpPr txBox="1"/>
      </xdr:nvSpPr>
      <xdr:spPr>
        <a:xfrm>
          <a:off x="2555254" y="1137524"/>
          <a:ext cx="1120577" cy="19677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latin typeface="Times New Roman" panose="02020603050405020304" pitchFamily="18" charset="0"/>
              <a:cs typeface="Times New Roman" panose="02020603050405020304" pitchFamily="18" charset="0"/>
            </a:rPr>
            <a:t>Average</a:t>
          </a:r>
          <a:r>
            <a:rPr lang="en-IN" sz="900" baseline="0">
              <a:latin typeface="Times New Roman" panose="02020603050405020304" pitchFamily="18" charset="0"/>
              <a:cs typeface="Times New Roman" panose="02020603050405020304" pitchFamily="18" charset="0"/>
            </a:rPr>
            <a:t> wait time</a:t>
          </a:r>
          <a:endParaRPr lang="en-IN" sz="900">
            <a:latin typeface="Times New Roman" panose="02020603050405020304" pitchFamily="18" charset="0"/>
            <a:cs typeface="Times New Roman" panose="02020603050405020304" pitchFamily="18" charset="0"/>
          </a:endParaRPr>
        </a:p>
      </xdr:txBody>
    </xdr:sp>
    <xdr:clientData/>
  </xdr:twoCellAnchor>
  <xdr:twoCellAnchor>
    <xdr:from>
      <xdr:col>6</xdr:col>
      <xdr:colOff>146807</xdr:colOff>
      <xdr:row>6</xdr:row>
      <xdr:rowOff>39963</xdr:rowOff>
    </xdr:from>
    <xdr:to>
      <xdr:col>7</xdr:col>
      <xdr:colOff>601211</xdr:colOff>
      <xdr:row>8</xdr:row>
      <xdr:rowOff>49201</xdr:rowOff>
    </xdr:to>
    <xdr:sp macro="" textlink="">
      <xdr:nvSpPr>
        <xdr:cNvPr id="47" name="TextBox 46">
          <a:extLst>
            <a:ext uri="{FF2B5EF4-FFF2-40B4-BE49-F238E27FC236}">
              <a16:creationId xmlns:a16="http://schemas.microsoft.com/office/drawing/2014/main" id="{666FE506-D779-3D75-AFC1-B8F7F05EC4BD}"/>
            </a:ext>
          </a:extLst>
        </xdr:cNvPr>
        <xdr:cNvSpPr txBox="1"/>
      </xdr:nvSpPr>
      <xdr:spPr>
        <a:xfrm>
          <a:off x="3796018" y="1130532"/>
          <a:ext cx="1062606" cy="37276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latin typeface="Times New Roman" panose="02020603050405020304" pitchFamily="18" charset="0"/>
              <a:cs typeface="Times New Roman" panose="02020603050405020304" pitchFamily="18" charset="0"/>
            </a:rPr>
            <a:t>Patient Satisfaction Score</a:t>
          </a:r>
        </a:p>
      </xdr:txBody>
    </xdr:sp>
    <xdr:clientData/>
  </xdr:twoCellAnchor>
  <xdr:twoCellAnchor editAs="oneCell">
    <xdr:from>
      <xdr:col>3</xdr:col>
      <xdr:colOff>349827</xdr:colOff>
      <xdr:row>4</xdr:row>
      <xdr:rowOff>109682</xdr:rowOff>
    </xdr:from>
    <xdr:to>
      <xdr:col>4</xdr:col>
      <xdr:colOff>11545</xdr:colOff>
      <xdr:row>6</xdr:row>
      <xdr:rowOff>13854</xdr:rowOff>
    </xdr:to>
    <xdr:pic>
      <xdr:nvPicPr>
        <xdr:cNvPr id="51" name="Graphic 50" descr="User with solid fill">
          <a:extLst>
            <a:ext uri="{FF2B5EF4-FFF2-40B4-BE49-F238E27FC236}">
              <a16:creationId xmlns:a16="http://schemas.microsoft.com/office/drawing/2014/main" id="{18CE36D2-2CCB-4D29-390B-AC0DADD69FB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85554" y="848591"/>
          <a:ext cx="273627" cy="273627"/>
        </a:xfrm>
        <a:prstGeom prst="rect">
          <a:avLst/>
        </a:prstGeom>
      </xdr:spPr>
    </xdr:pic>
    <xdr:clientData/>
  </xdr:twoCellAnchor>
  <xdr:twoCellAnchor editAs="oneCell">
    <xdr:from>
      <xdr:col>5</xdr:col>
      <xdr:colOff>375229</xdr:colOff>
      <xdr:row>4</xdr:row>
      <xdr:rowOff>138545</xdr:rowOff>
    </xdr:from>
    <xdr:to>
      <xdr:col>5</xdr:col>
      <xdr:colOff>608447</xdr:colOff>
      <xdr:row>6</xdr:row>
      <xdr:rowOff>2308</xdr:rowOff>
    </xdr:to>
    <xdr:pic>
      <xdr:nvPicPr>
        <xdr:cNvPr id="55" name="Graphic 54" descr="Hourglass Finished with solid fill">
          <a:extLst>
            <a:ext uri="{FF2B5EF4-FFF2-40B4-BE49-F238E27FC236}">
              <a16:creationId xmlns:a16="http://schemas.microsoft.com/office/drawing/2014/main" id="{107A5E69-2164-0045-2DEA-E73959A1036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34774" y="877454"/>
          <a:ext cx="233218" cy="233218"/>
        </a:xfrm>
        <a:prstGeom prst="rect">
          <a:avLst/>
        </a:prstGeom>
      </xdr:spPr>
    </xdr:pic>
    <xdr:clientData/>
  </xdr:twoCellAnchor>
  <xdr:twoCellAnchor editAs="oneCell">
    <xdr:from>
      <xdr:col>7</xdr:col>
      <xdr:colOff>285299</xdr:colOff>
      <xdr:row>4</xdr:row>
      <xdr:rowOff>129626</xdr:rowOff>
    </xdr:from>
    <xdr:to>
      <xdr:col>7</xdr:col>
      <xdr:colOff>568162</xdr:colOff>
      <xdr:row>6</xdr:row>
      <xdr:rowOff>43034</xdr:rowOff>
    </xdr:to>
    <xdr:pic>
      <xdr:nvPicPr>
        <xdr:cNvPr id="57" name="Graphic 56" descr="Customer review with solid fill">
          <a:extLst>
            <a:ext uri="{FF2B5EF4-FFF2-40B4-BE49-F238E27FC236}">
              <a16:creationId xmlns:a16="http://schemas.microsoft.com/office/drawing/2014/main" id="{EFD53541-EF63-209D-2A1F-CF72926E3A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42712" y="856672"/>
          <a:ext cx="282863" cy="276931"/>
        </a:xfrm>
        <a:prstGeom prst="rect">
          <a:avLst/>
        </a:prstGeom>
      </xdr:spPr>
    </xdr:pic>
    <xdr:clientData/>
  </xdr:twoCellAnchor>
  <xdr:twoCellAnchor editAs="oneCell">
    <xdr:from>
      <xdr:col>0</xdr:col>
      <xdr:colOff>118846</xdr:colOff>
      <xdr:row>4</xdr:row>
      <xdr:rowOff>153799</xdr:rowOff>
    </xdr:from>
    <xdr:to>
      <xdr:col>1</xdr:col>
      <xdr:colOff>554644</xdr:colOff>
      <xdr:row>24</xdr:row>
      <xdr:rowOff>10570</xdr:rowOff>
    </xdr:to>
    <mc:AlternateContent xmlns:mc="http://schemas.openxmlformats.org/markup-compatibility/2006" xmlns:a14="http://schemas.microsoft.com/office/drawing/2010/main">
      <mc:Choice Requires="a14">
        <xdr:graphicFrame macro="">
          <xdr:nvGraphicFramePr>
            <xdr:cNvPr id="58" name="Date (Month)">
              <a:extLst>
                <a:ext uri="{FF2B5EF4-FFF2-40B4-BE49-F238E27FC236}">
                  <a16:creationId xmlns:a16="http://schemas.microsoft.com/office/drawing/2014/main" id="{D756405C-7E63-4D8F-B024-E66938B7008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8846" y="880845"/>
              <a:ext cx="1044000" cy="34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90882</xdr:colOff>
      <xdr:row>7</xdr:row>
      <xdr:rowOff>55927</xdr:rowOff>
    </xdr:from>
    <xdr:to>
      <xdr:col>4</xdr:col>
      <xdr:colOff>48937</xdr:colOff>
      <xdr:row>12</xdr:row>
      <xdr:rowOff>83891</xdr:rowOff>
    </xdr:to>
    <xdr:graphicFrame macro="">
      <xdr:nvGraphicFramePr>
        <xdr:cNvPr id="59" name="Chart 58">
          <a:hlinkClick xmlns:r="http://schemas.openxmlformats.org/officeDocument/2006/relationships" r:id="rId8"/>
          <a:extLst>
            <a:ext uri="{FF2B5EF4-FFF2-40B4-BE49-F238E27FC236}">
              <a16:creationId xmlns:a16="http://schemas.microsoft.com/office/drawing/2014/main" id="{752F4CBF-5014-4816-9BF0-C9409D633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27965</xdr:colOff>
      <xdr:row>8</xdr:row>
      <xdr:rowOff>41945</xdr:rowOff>
    </xdr:from>
    <xdr:to>
      <xdr:col>6</xdr:col>
      <xdr:colOff>34955</xdr:colOff>
      <xdr:row>11</xdr:row>
      <xdr:rowOff>56206</xdr:rowOff>
    </xdr:to>
    <xdr:graphicFrame macro="">
      <xdr:nvGraphicFramePr>
        <xdr:cNvPr id="7" name="Chart 6">
          <a:hlinkClick xmlns:r="http://schemas.openxmlformats.org/officeDocument/2006/relationships" r:id="rId10"/>
          <a:extLst>
            <a:ext uri="{FF2B5EF4-FFF2-40B4-BE49-F238E27FC236}">
              <a16:creationId xmlns:a16="http://schemas.microsoft.com/office/drawing/2014/main" id="{0822375F-76A8-45A5-BC03-E5ABFCF71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146808</xdr:colOff>
      <xdr:row>6</xdr:row>
      <xdr:rowOff>167781</xdr:rowOff>
    </xdr:from>
    <xdr:to>
      <xdr:col>8</xdr:col>
      <xdr:colOff>90882</xdr:colOff>
      <xdr:row>11</xdr:row>
      <xdr:rowOff>174772</xdr:rowOff>
    </xdr:to>
    <xdr:graphicFrame macro="">
      <xdr:nvGraphicFramePr>
        <xdr:cNvPr id="9" name="Chart 8">
          <a:hlinkClick xmlns:r="http://schemas.openxmlformats.org/officeDocument/2006/relationships" r:id="rId12"/>
          <a:extLst>
            <a:ext uri="{FF2B5EF4-FFF2-40B4-BE49-F238E27FC236}">
              <a16:creationId xmlns:a16="http://schemas.microsoft.com/office/drawing/2014/main" id="{7B39BC1F-04B5-4691-9ECB-A35908A8D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128972</xdr:colOff>
          <xdr:row>11</xdr:row>
          <xdr:rowOff>18288</xdr:rowOff>
        </xdr:from>
        <xdr:to>
          <xdr:col>8</xdr:col>
          <xdr:colOff>54863</xdr:colOff>
          <xdr:row>15</xdr:row>
          <xdr:rowOff>67056</xdr:rowOff>
        </xdr:to>
        <xdr:pic>
          <xdr:nvPicPr>
            <xdr:cNvPr id="17" name="Picture 16">
              <a:extLst>
                <a:ext uri="{FF2B5EF4-FFF2-40B4-BE49-F238E27FC236}">
                  <a16:creationId xmlns:a16="http://schemas.microsoft.com/office/drawing/2014/main" id="{1D41C37B-09B2-74F2-F742-DD8824F68C11}"/>
                </a:ext>
              </a:extLst>
            </xdr:cNvPr>
            <xdr:cNvPicPr>
              <a:picLocks noChangeAspect="1" noChangeArrowheads="1"/>
              <a:extLst>
                <a:ext uri="{84589F7E-364E-4C9E-8A38-B11213B215E9}">
                  <a14:cameraTool cellRange="'Pivot report'!$A$38:$D$40" spid="_x0000_s1041"/>
                </a:ext>
              </a:extLst>
            </xdr:cNvPicPr>
          </xdr:nvPicPr>
          <xdr:blipFill>
            <a:blip xmlns:r="http://schemas.openxmlformats.org/officeDocument/2006/relationships" r:embed="rId14"/>
            <a:srcRect/>
            <a:stretch>
              <a:fillRect/>
            </a:stretch>
          </xdr:blipFill>
          <xdr:spPr bwMode="auto">
            <a:xfrm>
              <a:off x="1348172" y="2029968"/>
              <a:ext cx="3583491" cy="780288"/>
            </a:xfrm>
            <a:prstGeom prst="rect">
              <a:avLst/>
            </a:prstGeom>
            <a:solidFill>
              <a:schemeClr val="accent2"/>
            </a:solidFill>
            <a:ln>
              <a:noFill/>
            </a:ln>
            <a:effectLst>
              <a:outerShdw blurRad="190500" algn="tl" rotWithShape="0">
                <a:srgbClr val="000000">
                  <a:alpha val="70000"/>
                </a:srgbClr>
              </a:outerShdw>
            </a:effectLst>
          </xdr:spPr>
        </xdr:pic>
        <xdr:clientData/>
      </xdr:twoCellAnchor>
    </mc:Choice>
    <mc:Fallback/>
  </mc:AlternateContent>
  <xdr:twoCellAnchor>
    <xdr:from>
      <xdr:col>2</xdr:col>
      <xdr:colOff>91440</xdr:colOff>
      <xdr:row>15</xdr:row>
      <xdr:rowOff>110222</xdr:rowOff>
    </xdr:from>
    <xdr:to>
      <xdr:col>8</xdr:col>
      <xdr:colOff>42671</xdr:colOff>
      <xdr:row>23</xdr:row>
      <xdr:rowOff>18288</xdr:rowOff>
    </xdr:to>
    <xdr:graphicFrame macro="">
      <xdr:nvGraphicFramePr>
        <xdr:cNvPr id="19" name="Chart 18">
          <a:extLst>
            <a:ext uri="{FF2B5EF4-FFF2-40B4-BE49-F238E27FC236}">
              <a16:creationId xmlns:a16="http://schemas.microsoft.com/office/drawing/2014/main" id="{FB1D5DB4-9324-4C99-9BCC-FE759DCD7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237744</xdr:colOff>
      <xdr:row>23</xdr:row>
      <xdr:rowOff>0</xdr:rowOff>
    </xdr:from>
    <xdr:to>
      <xdr:col>7</xdr:col>
      <xdr:colOff>481584</xdr:colOff>
      <xdr:row>24</xdr:row>
      <xdr:rowOff>60960</xdr:rowOff>
    </xdr:to>
    <xdr:sp macro="" textlink="">
      <xdr:nvSpPr>
        <xdr:cNvPr id="21" name="TextBox 20">
          <a:extLst>
            <a:ext uri="{FF2B5EF4-FFF2-40B4-BE49-F238E27FC236}">
              <a16:creationId xmlns:a16="http://schemas.microsoft.com/office/drawing/2014/main" id="{45660C1E-CE26-0BEE-99E4-7FAFBD4F3C1E}"/>
            </a:ext>
          </a:extLst>
        </xdr:cNvPr>
        <xdr:cNvSpPr txBox="1"/>
      </xdr:nvSpPr>
      <xdr:spPr>
        <a:xfrm>
          <a:off x="1456944" y="4206240"/>
          <a:ext cx="3291840" cy="2438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No. of Patient by age group</a:t>
          </a:r>
        </a:p>
        <a:p>
          <a:pPr algn="ctr"/>
          <a:endParaRPr lang="en-IN" sz="1100"/>
        </a:p>
      </xdr:txBody>
    </xdr:sp>
    <xdr:clientData/>
  </xdr:twoCellAnchor>
  <xdr:twoCellAnchor>
    <xdr:from>
      <xdr:col>8</xdr:col>
      <xdr:colOff>140198</xdr:colOff>
      <xdr:row>0</xdr:row>
      <xdr:rowOff>73152</xdr:rowOff>
    </xdr:from>
    <xdr:to>
      <xdr:col>11</xdr:col>
      <xdr:colOff>73152</xdr:colOff>
      <xdr:row>10</xdr:row>
      <xdr:rowOff>85344</xdr:rowOff>
    </xdr:to>
    <xdr:graphicFrame macro="">
      <xdr:nvGraphicFramePr>
        <xdr:cNvPr id="22" name="Chart 21">
          <a:extLst>
            <a:ext uri="{FF2B5EF4-FFF2-40B4-BE49-F238E27FC236}">
              <a16:creationId xmlns:a16="http://schemas.microsoft.com/office/drawing/2014/main" id="{FB972DEA-F76B-48C8-BD37-7A28562EE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115824</xdr:colOff>
      <xdr:row>0</xdr:row>
      <xdr:rowOff>74340</xdr:rowOff>
    </xdr:from>
    <xdr:to>
      <xdr:col>14</xdr:col>
      <xdr:colOff>73152</xdr:colOff>
      <xdr:row>10</xdr:row>
      <xdr:rowOff>54864</xdr:rowOff>
    </xdr:to>
    <xdr:graphicFrame macro="">
      <xdr:nvGraphicFramePr>
        <xdr:cNvPr id="23" name="Chart 22">
          <a:extLst>
            <a:ext uri="{FF2B5EF4-FFF2-40B4-BE49-F238E27FC236}">
              <a16:creationId xmlns:a16="http://schemas.microsoft.com/office/drawing/2014/main" id="{1EAD14C3-B81A-449C-857E-20331D7D1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13</xdr:col>
      <xdr:colOff>316992</xdr:colOff>
      <xdr:row>9</xdr:row>
      <xdr:rowOff>42672</xdr:rowOff>
    </xdr:from>
    <xdr:ext cx="184731" cy="264560"/>
    <xdr:sp macro="" textlink="">
      <xdr:nvSpPr>
        <xdr:cNvPr id="24" name="TextBox 23">
          <a:extLst>
            <a:ext uri="{FF2B5EF4-FFF2-40B4-BE49-F238E27FC236}">
              <a16:creationId xmlns:a16="http://schemas.microsoft.com/office/drawing/2014/main" id="{29111EA7-E598-AD66-E841-CC07D83B04AA}"/>
            </a:ext>
          </a:extLst>
        </xdr:cNvPr>
        <xdr:cNvSpPr txBox="1"/>
      </xdr:nvSpPr>
      <xdr:spPr>
        <a:xfrm>
          <a:off x="8241792" y="168859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8</xdr:col>
      <xdr:colOff>134113</xdr:colOff>
      <xdr:row>11</xdr:row>
      <xdr:rowOff>12192</xdr:rowOff>
    </xdr:from>
    <xdr:to>
      <xdr:col>13</xdr:col>
      <xdr:colOff>585216</xdr:colOff>
      <xdr:row>23</xdr:row>
      <xdr:rowOff>54864</xdr:rowOff>
    </xdr:to>
    <xdr:graphicFrame macro="">
      <xdr:nvGraphicFramePr>
        <xdr:cNvPr id="25" name="Chart 24">
          <a:extLst>
            <a:ext uri="{FF2B5EF4-FFF2-40B4-BE49-F238E27FC236}">
              <a16:creationId xmlns:a16="http://schemas.microsoft.com/office/drawing/2014/main" id="{DC8A42E5-09AB-42B0-A7F8-D36C55859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11</xdr:col>
      <xdr:colOff>316992</xdr:colOff>
      <xdr:row>8</xdr:row>
      <xdr:rowOff>146304</xdr:rowOff>
    </xdr:from>
    <xdr:ext cx="1396088" cy="264560"/>
    <xdr:sp macro="" textlink="">
      <xdr:nvSpPr>
        <xdr:cNvPr id="27" name="TextBox 26">
          <a:extLst>
            <a:ext uri="{FF2B5EF4-FFF2-40B4-BE49-F238E27FC236}">
              <a16:creationId xmlns:a16="http://schemas.microsoft.com/office/drawing/2014/main" id="{485C5752-ED2C-A2E3-921C-DA717884F2AA}"/>
            </a:ext>
          </a:extLst>
        </xdr:cNvPr>
        <xdr:cNvSpPr txBox="1"/>
      </xdr:nvSpPr>
      <xdr:spPr>
        <a:xfrm>
          <a:off x="7022592" y="1609344"/>
          <a:ext cx="13960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Gender wise Analysis</a:t>
          </a:r>
        </a:p>
      </xdr:txBody>
    </xdr:sp>
    <xdr:clientData/>
  </xdr:oneCellAnchor>
  <xdr:twoCellAnchor editAs="oneCell">
    <xdr:from>
      <xdr:col>9</xdr:col>
      <xdr:colOff>110547</xdr:colOff>
      <xdr:row>22</xdr:row>
      <xdr:rowOff>127867</xdr:rowOff>
    </xdr:from>
    <xdr:to>
      <xdr:col>12</xdr:col>
      <xdr:colOff>561849</xdr:colOff>
      <xdr:row>24</xdr:row>
      <xdr:rowOff>60837</xdr:rowOff>
    </xdr:to>
    <xdr:pic>
      <xdr:nvPicPr>
        <xdr:cNvPr id="28" name="Picture 27">
          <a:extLst>
            <a:ext uri="{FF2B5EF4-FFF2-40B4-BE49-F238E27FC236}">
              <a16:creationId xmlns:a16="http://schemas.microsoft.com/office/drawing/2014/main" id="{55AADB04-4529-4B6A-99FA-C408D342729F}"/>
            </a:ext>
          </a:extLst>
        </xdr:cNvPr>
        <xdr:cNvPicPr>
          <a:picLocks noChangeAspect="1"/>
        </xdr:cNvPicPr>
      </xdr:nvPicPr>
      <xdr:blipFill>
        <a:blip xmlns:r="http://schemas.openxmlformats.org/officeDocument/2006/relationships" r:embed="rId19"/>
        <a:stretch>
          <a:fillRect/>
        </a:stretch>
      </xdr:blipFill>
      <xdr:spPr>
        <a:xfrm>
          <a:off x="5596947" y="4151227"/>
          <a:ext cx="2280102" cy="298730"/>
        </a:xfrm>
        <a:prstGeom prst="rect">
          <a:avLst/>
        </a:prstGeom>
      </xdr:spPr>
    </xdr:pic>
    <xdr:clientData/>
  </xdr:twoCellAnchor>
  <xdr:twoCellAnchor editAs="oneCell">
    <xdr:from>
      <xdr:col>6</xdr:col>
      <xdr:colOff>101209</xdr:colOff>
      <xdr:row>1</xdr:row>
      <xdr:rowOff>24384</xdr:rowOff>
    </xdr:from>
    <xdr:to>
      <xdr:col>8</xdr:col>
      <xdr:colOff>85344</xdr:colOff>
      <xdr:row>3</xdr:row>
      <xdr:rowOff>42672</xdr:rowOff>
    </xdr:to>
    <mc:AlternateContent xmlns:mc="http://schemas.openxmlformats.org/markup-compatibility/2006" xmlns:a14="http://schemas.microsoft.com/office/drawing/2010/main">
      <mc:Choice Requires="a14">
        <xdr:graphicFrame macro="">
          <xdr:nvGraphicFramePr>
            <xdr:cNvPr id="29" name="Date (Year)">
              <a:extLst>
                <a:ext uri="{FF2B5EF4-FFF2-40B4-BE49-F238E27FC236}">
                  <a16:creationId xmlns:a16="http://schemas.microsoft.com/office/drawing/2014/main" id="{7B071105-6347-47BD-BA6E-563DBE4B36F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758809" y="207264"/>
              <a:ext cx="1203335" cy="384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0.47203</cdr:x>
      <cdr:y>0.5</cdr:y>
    </cdr:from>
    <cdr:to>
      <cdr:x>0.9965</cdr:x>
      <cdr:y>1</cdr:y>
    </cdr:to>
    <cdr:sp macro="" textlink="">
      <cdr:nvSpPr>
        <cdr:cNvPr id="2" name="TextBox 1">
          <a:extLst xmlns:a="http://schemas.openxmlformats.org/drawingml/2006/main">
            <a:ext uri="{FF2B5EF4-FFF2-40B4-BE49-F238E27FC236}">
              <a16:creationId xmlns:a16="http://schemas.microsoft.com/office/drawing/2014/main" id="{BEF27864-D01F-B1F9-46B0-19B90877B7DA}"/>
            </a:ext>
          </a:extLst>
        </cdr:cNvPr>
        <cdr:cNvSpPr txBox="1"/>
      </cdr:nvSpPr>
      <cdr:spPr>
        <a:xfrm xmlns:a="http://schemas.openxmlformats.org/drawingml/2006/main">
          <a:off x="822959" y="159105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0.04545</cdr:x>
      <cdr:y>0.84215</cdr:y>
    </cdr:from>
    <cdr:to>
      <cdr:x>0.9</cdr:x>
      <cdr:y>0.97122</cdr:y>
    </cdr:to>
    <cdr:sp macro="" textlink="">
      <cdr:nvSpPr>
        <cdr:cNvPr id="3" name="TextBox 2">
          <a:extLst xmlns:a="http://schemas.openxmlformats.org/drawingml/2006/main">
            <a:ext uri="{FF2B5EF4-FFF2-40B4-BE49-F238E27FC236}">
              <a16:creationId xmlns:a16="http://schemas.microsoft.com/office/drawing/2014/main" id="{8E560B89-880D-69FD-F95D-7BA2610AB30E}"/>
            </a:ext>
          </a:extLst>
        </cdr:cNvPr>
        <cdr:cNvSpPr txBox="1"/>
      </cdr:nvSpPr>
      <cdr:spPr>
        <a:xfrm xmlns:a="http://schemas.openxmlformats.org/drawingml/2006/main">
          <a:off x="80357" y="1591056"/>
          <a:ext cx="1510709" cy="2438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100" kern="1200"/>
            <a:t>Patient Attend Status</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358141</xdr:colOff>
      <xdr:row>25</xdr:row>
      <xdr:rowOff>175260</xdr:rowOff>
    </xdr:to>
    <xdr:graphicFrame macro="">
      <xdr:nvGraphicFramePr>
        <xdr:cNvPr id="2" name="Chart 1">
          <a:extLst>
            <a:ext uri="{FF2B5EF4-FFF2-40B4-BE49-F238E27FC236}">
              <a16:creationId xmlns:a16="http://schemas.microsoft.com/office/drawing/2014/main" id="{AE256237-925B-407E-A903-75C8D68D8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515471</xdr:colOff>
      <xdr:row>2</xdr:row>
      <xdr:rowOff>161277</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ACDE682F-88DC-F0B4-0518-28191974F8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15471" cy="519865"/>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0.01257</cdr:x>
      <cdr:y>0.91</cdr:y>
    </cdr:from>
    <cdr:to>
      <cdr:x>1</cdr:x>
      <cdr:y>0.99667</cdr:y>
    </cdr:to>
    <cdr:sp macro="" textlink="">
      <cdr:nvSpPr>
        <cdr:cNvPr id="2" name="TextBox 1">
          <a:extLst xmlns:a="http://schemas.openxmlformats.org/drawingml/2006/main">
            <a:ext uri="{FF2B5EF4-FFF2-40B4-BE49-F238E27FC236}">
              <a16:creationId xmlns:a16="http://schemas.microsoft.com/office/drawing/2014/main" id="{5F3F4482-D47E-0C15-9631-8F8A16E908A8}"/>
            </a:ext>
          </a:extLst>
        </cdr:cNvPr>
        <cdr:cNvSpPr txBox="1"/>
      </cdr:nvSpPr>
      <cdr:spPr>
        <a:xfrm xmlns:a="http://schemas.openxmlformats.org/drawingml/2006/main">
          <a:off x="83820" y="4160520"/>
          <a:ext cx="6583680" cy="3962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100" kern="1200"/>
            <a:t>Use an area chart to track daily changes and highlight days</a:t>
          </a:r>
          <a:r>
            <a:rPr lang="en-IN" sz="1100" kern="1200" baseline="0"/>
            <a:t> with longer wait times that might need improvements</a:t>
          </a:r>
          <a:endParaRPr lang="en-IN" sz="1100" kern="1200"/>
        </a:p>
      </cdr:txBody>
    </cdr:sp>
  </cdr:relSizeAnchor>
</c:userShapes>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586740</xdr:colOff>
      <xdr:row>19</xdr:row>
      <xdr:rowOff>0</xdr:rowOff>
    </xdr:to>
    <xdr:graphicFrame macro="">
      <xdr:nvGraphicFramePr>
        <xdr:cNvPr id="4" name="Chart 3">
          <a:extLst>
            <a:ext uri="{FF2B5EF4-FFF2-40B4-BE49-F238E27FC236}">
              <a16:creationId xmlns:a16="http://schemas.microsoft.com/office/drawing/2014/main" id="{38C70949-D7E7-4BD4-8FEB-2F2866268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15</xdr:row>
      <xdr:rowOff>99060</xdr:rowOff>
    </xdr:from>
    <xdr:to>
      <xdr:col>9</xdr:col>
      <xdr:colOff>281940</xdr:colOff>
      <xdr:row>18</xdr:row>
      <xdr:rowOff>60960</xdr:rowOff>
    </xdr:to>
    <xdr:sp macro="" textlink="">
      <xdr:nvSpPr>
        <xdr:cNvPr id="5" name="TextBox 4">
          <a:extLst>
            <a:ext uri="{FF2B5EF4-FFF2-40B4-BE49-F238E27FC236}">
              <a16:creationId xmlns:a16="http://schemas.microsoft.com/office/drawing/2014/main" id="{755304F4-7BDF-C937-4476-097B99E37E2D}"/>
            </a:ext>
          </a:extLst>
        </xdr:cNvPr>
        <xdr:cNvSpPr txBox="1"/>
      </xdr:nvSpPr>
      <xdr:spPr>
        <a:xfrm>
          <a:off x="228600" y="2842260"/>
          <a:ext cx="5539740" cy="5105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Showing daily</a:t>
          </a:r>
          <a:r>
            <a:rPr lang="en-IN" sz="1100" baseline="0"/>
            <a:t> trends with an area  sparkline to spot patterns like busy days or seasonal trends</a:t>
          </a:r>
        </a:p>
        <a:p>
          <a:pPr algn="ctr"/>
          <a:endParaRPr lang="en-IN" sz="1100"/>
        </a:p>
      </xdr:txBody>
    </xdr:sp>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0.10038</cdr:x>
      <cdr:y>0.17544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7C481BF-755A-4A6F-3720-60D025CABFB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09600" cy="60960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251460</xdr:colOff>
      <xdr:row>20</xdr:row>
      <xdr:rowOff>30480</xdr:rowOff>
    </xdr:from>
    <xdr:to>
      <xdr:col>11</xdr:col>
      <xdr:colOff>365760</xdr:colOff>
      <xdr:row>22</xdr:row>
      <xdr:rowOff>152400</xdr:rowOff>
    </xdr:to>
    <xdr:sp macro="" textlink="">
      <xdr:nvSpPr>
        <xdr:cNvPr id="2" name="TextBox 1">
          <a:extLst>
            <a:ext uri="{FF2B5EF4-FFF2-40B4-BE49-F238E27FC236}">
              <a16:creationId xmlns:a16="http://schemas.microsoft.com/office/drawing/2014/main" id="{D9FFD1C2-19AE-0111-83C0-6ACFC0593606}"/>
            </a:ext>
          </a:extLst>
        </xdr:cNvPr>
        <xdr:cNvSpPr txBox="1"/>
      </xdr:nvSpPr>
      <xdr:spPr>
        <a:xfrm>
          <a:off x="251460" y="3688080"/>
          <a:ext cx="6819900" cy="4876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 an area</a:t>
          </a:r>
          <a:r>
            <a:rPr lang="en-IN" sz="1100" baseline="0"/>
            <a:t> chart to show to show trends, spot dropsin satisfaction, and link them to busy times or challenges</a:t>
          </a:r>
        </a:p>
      </xdr:txBody>
    </xdr:sp>
    <xdr:clientData/>
  </xdr:twoCellAnchor>
  <xdr:twoCellAnchor>
    <xdr:from>
      <xdr:col>0</xdr:col>
      <xdr:colOff>289560</xdr:colOff>
      <xdr:row>0</xdr:row>
      <xdr:rowOff>129540</xdr:rowOff>
    </xdr:from>
    <xdr:to>
      <xdr:col>11</xdr:col>
      <xdr:colOff>251460</xdr:colOff>
      <xdr:row>18</xdr:row>
      <xdr:rowOff>60960</xdr:rowOff>
    </xdr:to>
    <xdr:graphicFrame macro="">
      <xdr:nvGraphicFramePr>
        <xdr:cNvPr id="3" name="Chart 2">
          <a:extLst>
            <a:ext uri="{FF2B5EF4-FFF2-40B4-BE49-F238E27FC236}">
              <a16:creationId xmlns:a16="http://schemas.microsoft.com/office/drawing/2014/main" id="{7EDBC5A1-DDCC-41C3-ADCA-036E0B731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62499998" createdVersion="5" refreshedVersion="8" minRefreshableVersion="3" recordCount="0" supportSubquery="1" supportAdvancedDrill="1" xr:uid="{0FB42F6F-C6B0-4DA9-B718-A5CFA4DF45CE}">
  <cacheSource type="external" connectionId="6"/>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63078706" createdVersion="5" refreshedVersion="8" minRefreshableVersion="3" recordCount="0" supportSubquery="1" supportAdvancedDrill="1" xr:uid="{70400D8F-6BE2-4298-9DC8-BF7AD7DA96CD}">
  <cacheSource type="external" connectionId="6"/>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64236114" createdVersion="5" refreshedVersion="8" minRefreshableVersion="3" recordCount="0" supportSubquery="1" supportAdvancedDrill="1" xr:uid="{764DB84A-3D5C-4F6F-AC2D-C7E0DF3A863D}">
  <cacheSource type="external" connectionId="6"/>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6458333" createdVersion="5" refreshedVersion="8" minRefreshableVersion="3" recordCount="0" supportSubquery="1" supportAdvancedDrill="1" xr:uid="{1EFB0367-F7BA-4166-BB5C-9F0C5CD30B89}">
  <cacheSource type="external" connectionId="6"/>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64814814" createdVersion="5" refreshedVersion="8" minRefreshableVersion="3" recordCount="0" supportSubquery="1" supportAdvancedDrill="1" xr:uid="{2AD991C4-10B2-423C-854D-CF2B3D52C3FA}">
  <cacheSource type="external" connectionId="6"/>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65740738" createdVersion="5" refreshedVersion="8" minRefreshableVersion="3" recordCount="0" supportSubquery="1" supportAdvancedDrill="1" xr:uid="{92E6695D-EC5E-49FA-926D-09AE4E1FF86D}">
  <cacheSource type="external" connectionId="6"/>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66550923" createdVersion="5" refreshedVersion="8" minRefreshableVersion="3" recordCount="0" supportSubquery="1" supportAdvancedDrill="1" xr:uid="{C246D854-BB0A-4787-B2DA-4786591FF683}">
  <cacheSource type="external" connectionId="6"/>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6724537" createdVersion="5" refreshedVersion="8" minRefreshableVersion="3" recordCount="0" supportSubquery="1" supportAdvancedDrill="1" xr:uid="{AF33D3A8-B52E-4BFE-98AA-251D4D6506BF}">
  <cacheSource type="external" connectionId="6"/>
  <cacheFields count="4">
    <cacheField name="[Calenda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67939816" createdVersion="5" refreshedVersion="8" minRefreshableVersion="3" recordCount="0" supportSubquery="1" supportAdvancedDrill="1" xr:uid="{D8D9D203-2BA0-41D5-9A76-C02C1B16CB06}">
  <cacheSource type="external" connectionId="6"/>
  <cacheFields count="5">
    <cacheField name="[Calendar_table].[Date (Month)].[Date (Month)]" caption="Date (Month)" numFmtId="0" hierarchy="1" level="1">
      <sharedItems containsSemiMixedTypes="0" containsNonDate="0" containsString="0"/>
    </cacheField>
    <cacheField name="[Measures].[Count of Patient Attend Status]" caption="Count of Patient Attend Status" numFmtId="0" hierarchy="29" level="32767"/>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68634256" createdVersion="5" refreshedVersion="8" minRefreshableVersion="3" recordCount="0" supportSubquery="1" supportAdvancedDrill="1" xr:uid="{F480EA0A-730B-4052-927E-29262559BCE0}">
  <cacheSource type="external" connectionId="6"/>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69212964" createdVersion="5" refreshedVersion="8" minRefreshableVersion="3" recordCount="0" supportSubquery="1" supportAdvancedDrill="1" xr:uid="{6597A58C-61EC-4FCB-A10B-4D9EA093B775}">
  <cacheSource type="external" connectionId="6"/>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8.724070023149" createdVersion="5" refreshedVersion="8" minRefreshableVersion="3" recordCount="0" supportSubquery="1" supportAdvancedDrill="1" xr:uid="{8F0FAFB9-99AC-4AC8-B5A2-EEC586AA0B42}">
  <cacheSource type="external" connectionId="6"/>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AMPATI KEERTHI" refreshedDate="46006.485815277774" createdVersion="3" refreshedVersion="8" minRefreshableVersion="3" recordCount="0" supportSubquery="1" supportAdvancedDrill="1" xr:uid="{E1826E88-8F08-4A14-A59C-D0909C83344E}">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407652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19A8D4-8B0B-48B7-A245-0E1AB7C59840}" name="PivotTable3" cacheId="4" applyNumberFormats="0" applyBorderFormats="0" applyFontFormats="0" applyPatternFormats="0" applyAlignmentFormats="0" applyWidthHeightFormats="1" dataCaption="Values" tag="bac7fe37-4419-49ff-833b-f568237a4895"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E2AD2A-9F22-475D-BA14-81067C4359DF}" name="PivotTable11" cacheId="2" applyNumberFormats="0" applyBorderFormats="0" applyFontFormats="0" applyPatternFormats="0" applyAlignmentFormats="0" applyWidthHeightFormats="1" dataCaption="Values" tag="bac7fe37-4419-49ff-833b-f568237a4895" updatedVersion="8" minRefreshableVersion="3" subtotalHiddenItems="1" itemPrintTitles="1" createdVersion="5" indent="0" outline="1" outlineData="1" multipleFieldFilters="0" chartFormat="26">
  <location ref="A69:B7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3">
    <format dxfId="3">
      <pivotArea outline="0" collapsedLevelsAreSubtotals="1" fieldPosition="0"/>
    </format>
    <format dxfId="2">
      <pivotArea grandRow="1" outline="0" collapsedLevelsAreSubtotals="1" fieldPosition="0"/>
    </format>
    <format dxfId="1">
      <pivotArea collapsedLevelsAreSubtotals="1" fieldPosition="0">
        <references count="1">
          <reference field="1" count="0"/>
        </references>
      </pivotArea>
    </format>
  </formats>
  <chartFormats count="3">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6FDFC0-5E90-4604-8277-E2B257DE6DF0}" name="PivotTable2" cacheId="3" applyNumberFormats="0" applyBorderFormats="0" applyFontFormats="0" applyPatternFormats="0" applyAlignmentFormats="0" applyWidthHeightFormats="1" dataCaption="Values" tag="ae6bb9ab-0bca-4751-85da-357ea77805a6"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50D8F0-6C0A-4DB2-A842-356810C876ED}" name="PivotTable8" cacheId="9" applyNumberFormats="0" applyBorderFormats="0" applyFontFormats="0" applyPatternFormats="0" applyAlignmentFormats="0" applyWidthHeightFormats="1" dataCaption="Values" tag="bac7fe37-4419-49ff-833b-f568237a4895" updatedVersion="8" minRefreshableVersion="3" subtotalHiddenItems="1" itemPrintTitles="1" createdVersion="5" indent="0" outline="1" outlineData="1" multipleFieldFilters="0" chartFormat="5">
  <location ref="A43:B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7">
      <pivotArea outline="0" collapsedLevelsAreSubtotals="1" fieldPosition="0"/>
    </format>
    <format dxfId="6">
      <pivotArea grandRow="1" outline="0" collapsedLevelsAreSubtotals="1" fieldPosition="0"/>
    </format>
    <format dxfId="5">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C9027A-71B3-4221-A9B8-F821DDE32544}" name="PivotTable9" cacheId="10" applyNumberFormats="0" applyBorderFormats="0" applyFontFormats="0" applyPatternFormats="0" applyAlignmentFormats="0" applyWidthHeightFormats="1" dataCaption="Values" tag="bac7fe37-4419-49ff-833b-f568237a4895" updatedVersion="8" minRefreshableVersion="3" subtotalHiddenItems="1" itemPrintTitles="1" createdVersion="5" indent="0" outline="1" outlineData="1" multipleFieldFilters="0" chartFormat="15">
  <location ref="A57: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10">
      <pivotArea outline="0" collapsedLevelsAreSubtotals="1" fieldPosition="0"/>
    </format>
    <format dxfId="9">
      <pivotArea grandRow="1" outline="0" collapsedLevelsAreSubtotals="1" fieldPosition="0"/>
    </format>
    <format dxfId="8">
      <pivotArea collapsedLevelsAreSubtotals="1" fieldPosition="0">
        <references count="1">
          <reference field="1" count="0"/>
        </references>
      </pivotArea>
    </format>
  </formats>
  <chartFormats count="6">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3D62E5-4276-4D86-A678-A9A558EDE0FA}" name="PivotTable5" cacheId="6" applyNumberFormats="0" applyBorderFormats="0" applyFontFormats="0" applyPatternFormats="0" applyAlignmentFormats="0" applyWidthHeightFormats="1" dataCaption="Values" tag="f0563496-6c79-4554-93e4-55e353e36c6d" updatedVersion="8" minRefreshableVersion="3" subtotalHiddenItems="1" itemPrintTitles="1" createdVersion="5" indent="0" outline="1" outlineData="1" multipleFieldFilters="0" chartFormat="24">
  <location ref="L4:M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1">
      <pivotArea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3827CA-F74C-4AF7-AC3F-51D98325054D}" name="PivotTable1" cacheId="0" applyNumberFormats="0" applyBorderFormats="0" applyFontFormats="0" applyPatternFormats="0" applyAlignmentFormats="0" applyWidthHeightFormats="1" dataCaption="Values" tag="f937b3bc-8968-41d1-b2c8-e1fbfcc8d947"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8B0844-A171-4823-A5DA-1B4F8D582E4D}" name="PivotTable6" cacheId="7" applyNumberFormats="0" applyBorderFormats="0" applyFontFormats="0" applyPatternFormats="0" applyAlignmentFormats="0" applyWidthHeightFormats="1" dataCaption="Values" tag="f0563496-6c79-4554-93e4-55e353e36c6d" updatedVersion="8" minRefreshableVersion="3" subtotalHiddenItems="1" itemPrintTitles="1" createdVersion="5" indent="0" outline="1" outlineData="1" multipleFieldFilters="0" chartFormat="31">
  <location ref="Q4:R32"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12">
      <pivotArea outline="0" collapsedLevelsAreSubtotals="1" fieldPosition="0"/>
    </format>
  </formats>
  <chartFormats count="2">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A497C2-6E1F-4B06-9CC4-B13F8AE22FBF}" name="PivotTable10" cacheId="1" applyNumberFormats="0" applyBorderFormats="0" applyFontFormats="0" applyPatternFormats="0" applyAlignmentFormats="0" applyWidthHeightFormats="1" dataCaption="Values" tag="bac7fe37-4419-49ff-833b-f568237a4895" updatedVersion="8" minRefreshableVersion="3" subtotalHiddenItems="1" itemPrintTitles="1" createdVersion="5" indent="0" outline="1" outlineData="1" multipleFieldFilters="0" chartFormat="21">
  <location ref="A63: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15">
      <pivotArea outline="0" collapsedLevelsAreSubtotals="1" fieldPosition="0"/>
    </format>
    <format dxfId="14">
      <pivotArea grandRow="1" outline="0" collapsedLevelsAreSubtotals="1" fieldPosition="0"/>
    </format>
    <format dxfId="13">
      <pivotArea collapsedLevelsAreSubtotals="1" fieldPosition="0">
        <references count="1">
          <reference field="1" count="0"/>
        </references>
      </pivotArea>
    </format>
  </formats>
  <chartFormats count="6">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 count="1" selected="0">
            <x v="0"/>
          </reference>
        </references>
      </pivotArea>
    </chartFormat>
    <chartFormat chart="16" format="3">
      <pivotArea type="data" outline="0" fieldPosition="0">
        <references count="2">
          <reference field="4294967294" count="1" selected="0">
            <x v="0"/>
          </reference>
          <reference field="1"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5461E4-6FAF-419F-916F-5EC18A3C90DE}" name="PivotTable7" cacheId="8" applyNumberFormats="0" applyBorderFormats="0" applyFontFormats="0" applyPatternFormats="0" applyAlignmentFormats="0" applyWidthHeightFormats="1" dataCaption="Values" tag="bac7fe37-4419-49ff-833b-f568237a4895" updatedVersion="8" minRefreshableVersion="3" subtotalHiddenItems="1" itemPrintTitles="1" createdVersion="5" indent="0" outline="1" outlineData="1" multipleFieldFilters="0" chartFormat="1">
  <location ref="A28:C3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Count of Patient Attend Status" fld="1" subtotal="count" baseField="0" baseItem="0"/>
    <dataField name="Count of Patient Admission Flag" fld="3" subtotal="count" showDataAs="percentOfTotal" baseField="0" baseItem="0" numFmtId="10"/>
  </dataFields>
  <formats count="5">
    <format dxfId="20">
      <pivotArea outline="0" collapsedLevelsAreSubtotals="1" fieldPosition="0"/>
    </format>
    <format dxfId="19">
      <pivotArea collapsedLevelsAreSubtotals="1" fieldPosition="0">
        <references count="1">
          <reference field="2" count="1">
            <x v="0"/>
          </reference>
        </references>
      </pivotArea>
    </format>
    <format dxfId="18">
      <pivotArea collapsedLevelsAreSubtotals="1" fieldPosition="0">
        <references count="1">
          <reference field="2" count="1">
            <x v="1"/>
          </reference>
        </references>
      </pivotArea>
    </format>
    <format dxfId="17">
      <pivotArea grandRow="1" outline="0" collapsedLevelsAreSubtotals="1" fieldPosition="0"/>
    </format>
    <format dxfId="1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8B451B-2A6E-4AB2-8692-82E04317175A}" name="PivotTable4" cacheId="5" applyNumberFormats="0" applyBorderFormats="0" applyFontFormats="0" applyPatternFormats="0" applyAlignmentFormats="0" applyWidthHeightFormats="1" dataCaption="Values" tag="66f215c1-a09b-4bd5-8b38-088ab033a2aa" updatedVersion="8" minRefreshableVersion="3" subtotalHiddenItems="1" itemPrintTitles="1" createdVersion="5" indent="0" outline="1" outlineData="1" multipleFieldFilters="0" chartFormat="18">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750F13-5E37-464B-B24A-3A2CF16CAE4A}" name="PivotTable12" cacheId="11" applyNumberFormats="0" applyBorderFormats="0" applyFontFormats="0" applyPatternFormats="0" applyAlignmentFormats="0" applyWidthHeightFormats="1" dataCaption="Values" tag="bac7fe37-4419-49ff-833b-f568237a4895" updatedVersion="8" minRefreshableVersion="3" subtotalHiddenItems="1" itemPrintTitles="1" createdVersion="5" indent="0" outline="1" outlineData="1" multipleFieldFilters="0" chartFormat="26">
  <location ref="A82:A8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22">
      <pivotArea outline="0" collapsedLevelsAreSubtotals="1" fieldPosition="0"/>
    </format>
    <format dxfId="21">
      <pivotArea grandRow="1"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D72E601-DEA1-4160-A7B9-9FF0D0776F9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Full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A05F30FE-5E60-4D4B-B022-40462B071E7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Full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28BECC3D-D6D3-4177-8A5B-05DFDFDDD9E0}"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Full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9B4C7F6-C738-47DE-8DCC-AF99E3378EF9}"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64076520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88D71F7-A7F9-44A1-9002-7665C4A2B0E9}"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4076520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F69BE0D-4E81-4C1D-BF91-A747EC0B3047}" cache="Slicer_Date__Month" caption="Date (Month)" showCaption="0" level="1" style="SlicerStyleLight3 2" rowHeight="252000"/>
  <slicer name="Date (Year)" xr10:uid="{22668625-0EA3-4FF8-A2DE-552054C6CC0F}" cache="Slicer_Date__Year" caption="Date (Year)" columnCount="2" showCaption="0"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151FA8-C223-4550-9C8D-344482FF0306}" name="Table_ExternalData_1" displayName="Table_ExternalData_1" ref="A3:M22" tableType="queryTable" totalsRowShown="0">
  <autoFilter ref="A3:M22" xr:uid="{B2151FA8-C223-4550-9C8D-344482FF0306}"/>
  <tableColumns count="13">
    <tableColumn id="1" xr3:uid="{67485C4A-AC22-4776-8A74-0C3B38B3E347}" uniqueName="1" name="Hospital Emergency Room Data[Patient Id]" queryTableFieldId="1"/>
    <tableColumn id="2" xr3:uid="{01A4361B-370B-450C-900F-F436A17A43A5}" uniqueName="2" name="Hospital Emergency Room Data[Patient Admission Date]" queryTableFieldId="2" dataDxfId="28"/>
    <tableColumn id="3" xr3:uid="{093FD537-0673-4D64-ABCD-6FEA06752CD0}" uniqueName="3" name="Hospital Emergency Room Data[Patient Admission Time]" queryTableFieldId="3" dataDxfId="27"/>
    <tableColumn id="4" xr3:uid="{E79CDE11-2ECD-406B-B385-2167D67E4363}" uniqueName="4" name="Hospital Emergency Room Data[Full Name]" queryTableFieldId="4"/>
    <tableColumn id="5" xr3:uid="{02353F57-E509-4038-8CCA-99C10E5EEFF6}" uniqueName="5" name="Hospital Emergency Room Data[Patient Gender]" queryTableFieldId="5"/>
    <tableColumn id="6" xr3:uid="{EDE0D9CD-F9FF-409C-B168-5B09CF17761F}" uniqueName="6" name="Hospital Emergency Room Data[Patient Age]" queryTableFieldId="6"/>
    <tableColumn id="7" xr3:uid="{D7B90ADF-4C06-4147-83B8-525834963437}" uniqueName="7" name="Hospital Emergency Room Data[Patient Race]" queryTableFieldId="7"/>
    <tableColumn id="8" xr3:uid="{7237294D-2D0B-4EB8-A8CB-AD23CFAF5AA8}" uniqueName="8" name="Hospital Emergency Room Data[Department Referral]" queryTableFieldId="8"/>
    <tableColumn id="9" xr3:uid="{9688230A-5D8D-4D96-BD3E-6501E01B29D0}" uniqueName="9" name="Hospital Emergency Room Data[Patient Admission Flag]" queryTableFieldId="9"/>
    <tableColumn id="10" xr3:uid="{6F9E62A2-D5A5-47A0-A699-AF2DCAAC2798}" uniqueName="10" name="Hospital Emergency Room Data[Patient Satisfaction Score]" queryTableFieldId="10"/>
    <tableColumn id="11" xr3:uid="{CE114924-D846-4229-97EB-CF403923DA10}" uniqueName="11" name="Hospital Emergency Room Data[Patient Waittime]" queryTableFieldId="11"/>
    <tableColumn id="12" xr3:uid="{5DB130EA-0A1B-4F57-AB30-C21E38698FE2}" uniqueName="12" name="Hospital Emergency Room Data[Age Group]" queryTableFieldId="12"/>
    <tableColumn id="13" xr3:uid="{36E94FCE-1CDA-41E1-8487-4123C19031A1}"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DFB9D3-D421-48D4-ABB8-BEFAC384F47A}" name="Table_ExternalData_13" displayName="Table_ExternalData_13" ref="A3:M79" tableType="queryTable" totalsRowShown="0">
  <autoFilter ref="A3:M79" xr:uid="{2EDFB9D3-D421-48D4-ABB8-BEFAC384F47A}"/>
  <tableColumns count="13">
    <tableColumn id="1" xr3:uid="{77ADEE08-94BC-4322-B55B-A888CB1A0C09}" uniqueName="1" name="Hospital Emergency Room Data[Patient Id]" queryTableFieldId="1"/>
    <tableColumn id="2" xr3:uid="{E8A0715A-6156-4F79-945F-F855223A19B2}" uniqueName="2" name="Hospital Emergency Room Data[Patient Admission Date]" queryTableFieldId="2" dataDxfId="26"/>
    <tableColumn id="3" xr3:uid="{89380CEE-786E-42EF-B377-76BF9C270908}" uniqueName="3" name="Hospital Emergency Room Data[Patient Admission Time]" queryTableFieldId="3" dataDxfId="25"/>
    <tableColumn id="4" xr3:uid="{26AB8F7C-2CD8-4FF3-AD1E-C18B8447E9AA}" uniqueName="4" name="Hospital Emergency Room Data[Full Name]" queryTableFieldId="4"/>
    <tableColumn id="5" xr3:uid="{8910C24E-B3E1-40AF-9E48-D30991373E86}" uniqueName="5" name="Hospital Emergency Room Data[Patient Gender]" queryTableFieldId="5"/>
    <tableColumn id="6" xr3:uid="{D1242AE6-1C46-4F9E-B162-3D618BD6ADDD}" uniqueName="6" name="Hospital Emergency Room Data[Patient Age]" queryTableFieldId="6"/>
    <tableColumn id="7" xr3:uid="{D5EC2DD0-90F8-45AC-ACC1-5D4647157D81}" uniqueName="7" name="Hospital Emergency Room Data[Patient Race]" queryTableFieldId="7"/>
    <tableColumn id="8" xr3:uid="{A0A5A5C3-03A2-4D84-B6EB-71F6B2A7B52C}" uniqueName="8" name="Hospital Emergency Room Data[Department Referral]" queryTableFieldId="8"/>
    <tableColumn id="9" xr3:uid="{B2D1CCD5-90B3-46B3-B395-13D12CF4FC61}" uniqueName="9" name="Hospital Emergency Room Data[Patient Admission Flag]" queryTableFieldId="9"/>
    <tableColumn id="10" xr3:uid="{C41AC7EC-CBEA-40C0-9BAA-EAE2D25C0267}" uniqueName="10" name="Hospital Emergency Room Data[Patient Satisfaction Score]" queryTableFieldId="10"/>
    <tableColumn id="11" xr3:uid="{395E68C8-BF57-4D4F-9A85-6F13EA4F4E98}" uniqueName="11" name="Hospital Emergency Room Data[Patient Waittime]" queryTableFieldId="11"/>
    <tableColumn id="12" xr3:uid="{32783C17-06ED-4CCD-84DB-94294C750625}" uniqueName="12" name="Hospital Emergency Room Data[Age Group]" queryTableFieldId="12"/>
    <tableColumn id="13" xr3:uid="{181F0681-2BCF-4ACF-918E-4D82D228CFEC}"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25D943-CA4A-4E22-8497-AD8921974901}" name="Table_ExternalData_14" displayName="Table_ExternalData_14" ref="A3:M319" tableType="queryTable" totalsRowShown="0">
  <autoFilter ref="A3:M319" xr:uid="{4525D943-CA4A-4E22-8497-AD8921974901}"/>
  <tableColumns count="13">
    <tableColumn id="1" xr3:uid="{2291A597-6C5E-43D8-BB12-2FFA28C76E6B}" uniqueName="1" name="Hospital Emergency Room Data[Patient Id]" queryTableFieldId="1"/>
    <tableColumn id="2" xr3:uid="{9554BB24-5D6E-4290-85B0-F473DD99FF40}" uniqueName="2" name="Hospital Emergency Room Data[Patient Admission Date]" queryTableFieldId="2" dataDxfId="24"/>
    <tableColumn id="3" xr3:uid="{6EB3F520-1701-4454-BEB4-AFF85D5B3F5F}" uniqueName="3" name="Hospital Emergency Room Data[Patient Admission Time]" queryTableFieldId="3" dataDxfId="23"/>
    <tableColumn id="4" xr3:uid="{DE7C99DF-D2C0-4F2C-816D-5F2E65999A25}" uniqueName="4" name="Hospital Emergency Room Data[Full Name]" queryTableFieldId="4"/>
    <tableColumn id="5" xr3:uid="{CAB5E082-2371-42DB-B3FE-839E4D40B4AA}" uniqueName="5" name="Hospital Emergency Room Data[Patient Gender]" queryTableFieldId="5"/>
    <tableColumn id="6" xr3:uid="{7C0F4454-B6CB-4559-AC46-BBA26D0D6347}" uniqueName="6" name="Hospital Emergency Room Data[Patient Age]" queryTableFieldId="6"/>
    <tableColumn id="7" xr3:uid="{66DABEF6-888F-4498-974C-DA9736704289}" uniqueName="7" name="Hospital Emergency Room Data[Patient Race]" queryTableFieldId="7"/>
    <tableColumn id="8" xr3:uid="{A8E9F680-C70C-4501-A78D-0C5F76855DF2}" uniqueName="8" name="Hospital Emergency Room Data[Department Referral]" queryTableFieldId="8"/>
    <tableColumn id="9" xr3:uid="{2A48E4AA-A6F7-4B64-A2AA-D6F327D1C756}" uniqueName="9" name="Hospital Emergency Room Data[Patient Admission Flag]" queryTableFieldId="9"/>
    <tableColumn id="10" xr3:uid="{B2624BF6-8BAB-4D63-88D6-59826AD0CB3F}" uniqueName="10" name="Hospital Emergency Room Data[Patient Satisfaction Score]" queryTableFieldId="10"/>
    <tableColumn id="11" xr3:uid="{E3317371-C5C3-477D-9D3B-B959740BCA0F}" uniqueName="11" name="Hospital Emergency Room Data[Patient Waittime]" queryTableFieldId="11"/>
    <tableColumn id="12" xr3:uid="{59526B57-7F59-46DE-8843-9122A3BD9D22}" uniqueName="12" name="Hospital Emergency Room Data[Age Group]" queryTableFieldId="12"/>
    <tableColumn id="13" xr3:uid="{CD1465F8-9241-41FC-8299-E3F023DA9B31}"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43982-2B08-4B9F-8B26-117300A6218B}">
  <dimension ref="A1:M22"/>
  <sheetViews>
    <sheetView workbookViewId="0"/>
  </sheetViews>
  <sheetFormatPr defaultRowHeight="14.4" x14ac:dyDescent="0.3"/>
  <cols>
    <col min="1" max="1" width="39.6640625" bestFit="1" customWidth="1"/>
    <col min="2" max="2" width="51.33203125" bestFit="1" customWidth="1"/>
    <col min="3" max="3" width="51.5546875" bestFit="1" customWidth="1"/>
    <col min="4" max="4" width="40"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7" t="s">
        <v>85</v>
      </c>
    </row>
    <row r="3" spans="1:13" x14ac:dyDescent="0.3">
      <c r="A3" t="s">
        <v>8</v>
      </c>
      <c r="B3" t="s">
        <v>9</v>
      </c>
      <c r="C3" t="s">
        <v>10</v>
      </c>
      <c r="D3" t="s">
        <v>11</v>
      </c>
      <c r="E3" t="s">
        <v>12</v>
      </c>
      <c r="F3" t="s">
        <v>13</v>
      </c>
      <c r="G3" t="s">
        <v>14</v>
      </c>
      <c r="H3" t="s">
        <v>15</v>
      </c>
      <c r="I3" t="s">
        <v>16</v>
      </c>
      <c r="J3" t="s">
        <v>17</v>
      </c>
      <c r="K3" t="s">
        <v>18</v>
      </c>
      <c r="L3" t="s">
        <v>19</v>
      </c>
      <c r="M3" t="s">
        <v>20</v>
      </c>
    </row>
    <row r="4" spans="1:13" x14ac:dyDescent="0.3">
      <c r="A4" t="s">
        <v>21</v>
      </c>
      <c r="B4" s="4">
        <v>45352</v>
      </c>
      <c r="C4" s="6">
        <v>6.1805555555555558E-2</v>
      </c>
      <c r="D4" t="s">
        <v>22</v>
      </c>
      <c r="E4" t="s">
        <v>23</v>
      </c>
      <c r="F4">
        <v>43</v>
      </c>
      <c r="G4" t="s">
        <v>24</v>
      </c>
      <c r="H4" t="s">
        <v>25</v>
      </c>
      <c r="I4" t="s">
        <v>26</v>
      </c>
      <c r="K4">
        <v>16</v>
      </c>
      <c r="L4" t="s">
        <v>27</v>
      </c>
      <c r="M4" t="s">
        <v>28</v>
      </c>
    </row>
    <row r="5" spans="1:13" x14ac:dyDescent="0.3">
      <c r="A5" t="s">
        <v>29</v>
      </c>
      <c r="B5" s="4">
        <v>45352</v>
      </c>
      <c r="C5" s="6">
        <v>0.48402777777777778</v>
      </c>
      <c r="D5" t="s">
        <v>30</v>
      </c>
      <c r="E5" t="s">
        <v>23</v>
      </c>
      <c r="F5">
        <v>33</v>
      </c>
      <c r="G5" t="s">
        <v>24</v>
      </c>
      <c r="H5" t="s">
        <v>25</v>
      </c>
      <c r="I5" t="s">
        <v>26</v>
      </c>
      <c r="K5">
        <v>50</v>
      </c>
      <c r="L5" t="s">
        <v>31</v>
      </c>
      <c r="M5" t="s">
        <v>32</v>
      </c>
    </row>
    <row r="6" spans="1:13" x14ac:dyDescent="0.3">
      <c r="A6" t="s">
        <v>33</v>
      </c>
      <c r="B6" s="4">
        <v>45352</v>
      </c>
      <c r="C6" s="6">
        <v>0.14097222222222222</v>
      </c>
      <c r="D6" t="s">
        <v>34</v>
      </c>
      <c r="E6" t="s">
        <v>23</v>
      </c>
      <c r="F6">
        <v>66</v>
      </c>
      <c r="G6" t="s">
        <v>35</v>
      </c>
      <c r="H6" t="s">
        <v>25</v>
      </c>
      <c r="I6" t="s">
        <v>26</v>
      </c>
      <c r="K6">
        <v>60</v>
      </c>
      <c r="L6" t="s">
        <v>36</v>
      </c>
      <c r="M6" t="s">
        <v>32</v>
      </c>
    </row>
    <row r="7" spans="1:13" x14ac:dyDescent="0.3">
      <c r="A7" t="s">
        <v>37</v>
      </c>
      <c r="B7" s="4">
        <v>45352</v>
      </c>
      <c r="C7" s="6">
        <v>8.3333333333333329E-2</v>
      </c>
      <c r="D7" t="s">
        <v>38</v>
      </c>
      <c r="E7" t="s">
        <v>39</v>
      </c>
      <c r="F7">
        <v>16</v>
      </c>
      <c r="G7" t="s">
        <v>40</v>
      </c>
      <c r="H7" t="s">
        <v>25</v>
      </c>
      <c r="I7" t="s">
        <v>41</v>
      </c>
      <c r="K7">
        <v>13</v>
      </c>
      <c r="L7" t="s">
        <v>42</v>
      </c>
      <c r="M7" t="s">
        <v>28</v>
      </c>
    </row>
    <row r="8" spans="1:13" x14ac:dyDescent="0.3">
      <c r="A8" t="s">
        <v>43</v>
      </c>
      <c r="B8" s="4">
        <v>45352</v>
      </c>
      <c r="C8" s="6">
        <v>0.20416666666666666</v>
      </c>
      <c r="D8" t="s">
        <v>44</v>
      </c>
      <c r="E8" t="s">
        <v>39</v>
      </c>
      <c r="F8">
        <v>23</v>
      </c>
      <c r="G8" t="s">
        <v>45</v>
      </c>
      <c r="H8" t="s">
        <v>25</v>
      </c>
      <c r="I8" t="s">
        <v>41</v>
      </c>
      <c r="K8">
        <v>27</v>
      </c>
      <c r="L8" t="s">
        <v>46</v>
      </c>
      <c r="M8" t="s">
        <v>28</v>
      </c>
    </row>
    <row r="9" spans="1:13" x14ac:dyDescent="0.3">
      <c r="A9" t="s">
        <v>47</v>
      </c>
      <c r="B9" s="4">
        <v>45352</v>
      </c>
      <c r="C9" s="6">
        <v>0.11805555555555555</v>
      </c>
      <c r="D9" t="s">
        <v>48</v>
      </c>
      <c r="E9" t="s">
        <v>23</v>
      </c>
      <c r="F9">
        <v>67</v>
      </c>
      <c r="G9" t="s">
        <v>45</v>
      </c>
      <c r="H9" t="s">
        <v>25</v>
      </c>
      <c r="I9" t="s">
        <v>26</v>
      </c>
      <c r="K9">
        <v>48</v>
      </c>
      <c r="L9" t="s">
        <v>36</v>
      </c>
      <c r="M9" t="s">
        <v>32</v>
      </c>
    </row>
    <row r="10" spans="1:13" x14ac:dyDescent="0.3">
      <c r="A10" t="s">
        <v>49</v>
      </c>
      <c r="B10" s="4">
        <v>45352</v>
      </c>
      <c r="C10" s="6">
        <v>0.70277777777777772</v>
      </c>
      <c r="D10" t="s">
        <v>50</v>
      </c>
      <c r="E10" t="s">
        <v>39</v>
      </c>
      <c r="F10">
        <v>2</v>
      </c>
      <c r="G10" t="s">
        <v>35</v>
      </c>
      <c r="H10" t="s">
        <v>51</v>
      </c>
      <c r="I10" t="s">
        <v>41</v>
      </c>
      <c r="K10">
        <v>27</v>
      </c>
      <c r="L10" t="s">
        <v>52</v>
      </c>
      <c r="M10" t="s">
        <v>28</v>
      </c>
    </row>
    <row r="11" spans="1:13" x14ac:dyDescent="0.3">
      <c r="A11" t="s">
        <v>53</v>
      </c>
      <c r="B11" s="4">
        <v>45352</v>
      </c>
      <c r="C11" s="6">
        <v>0.36805555555555558</v>
      </c>
      <c r="D11" t="s">
        <v>54</v>
      </c>
      <c r="E11" t="s">
        <v>39</v>
      </c>
      <c r="F11">
        <v>35</v>
      </c>
      <c r="G11" t="s">
        <v>24</v>
      </c>
      <c r="H11" t="s">
        <v>51</v>
      </c>
      <c r="I11" t="s">
        <v>26</v>
      </c>
      <c r="K11">
        <v>39</v>
      </c>
      <c r="L11" t="s">
        <v>31</v>
      </c>
      <c r="M11" t="s">
        <v>32</v>
      </c>
    </row>
    <row r="12" spans="1:13" x14ac:dyDescent="0.3">
      <c r="A12" t="s">
        <v>55</v>
      </c>
      <c r="B12" s="4">
        <v>45352</v>
      </c>
      <c r="C12" s="6">
        <v>0.82222222222222219</v>
      </c>
      <c r="D12" t="s">
        <v>56</v>
      </c>
      <c r="E12" t="s">
        <v>23</v>
      </c>
      <c r="F12">
        <v>53</v>
      </c>
      <c r="G12" t="s">
        <v>57</v>
      </c>
      <c r="H12" t="s">
        <v>58</v>
      </c>
      <c r="I12" t="s">
        <v>41</v>
      </c>
      <c r="K12">
        <v>48</v>
      </c>
      <c r="L12" t="s">
        <v>59</v>
      </c>
      <c r="M12" t="s">
        <v>32</v>
      </c>
    </row>
    <row r="13" spans="1:13" x14ac:dyDescent="0.3">
      <c r="A13" t="s">
        <v>60</v>
      </c>
      <c r="B13" s="4">
        <v>45352</v>
      </c>
      <c r="C13" s="6">
        <v>0.31180555555555556</v>
      </c>
      <c r="D13" t="s">
        <v>61</v>
      </c>
      <c r="E13" t="s">
        <v>39</v>
      </c>
      <c r="F13">
        <v>18</v>
      </c>
      <c r="G13" t="s">
        <v>57</v>
      </c>
      <c r="H13" t="s">
        <v>62</v>
      </c>
      <c r="I13" t="s">
        <v>41</v>
      </c>
      <c r="K13">
        <v>19</v>
      </c>
      <c r="L13" t="s">
        <v>42</v>
      </c>
      <c r="M13" t="s">
        <v>28</v>
      </c>
    </row>
    <row r="14" spans="1:13" x14ac:dyDescent="0.3">
      <c r="A14" t="s">
        <v>63</v>
      </c>
      <c r="B14" s="4">
        <v>45352</v>
      </c>
      <c r="C14" s="6">
        <v>0.48541666666666666</v>
      </c>
      <c r="D14" t="s">
        <v>64</v>
      </c>
      <c r="E14" t="s">
        <v>23</v>
      </c>
      <c r="F14">
        <v>33</v>
      </c>
      <c r="G14" t="s">
        <v>35</v>
      </c>
      <c r="H14" t="s">
        <v>62</v>
      </c>
      <c r="I14" t="s">
        <v>26</v>
      </c>
      <c r="K14">
        <v>17</v>
      </c>
      <c r="L14" t="s">
        <v>31</v>
      </c>
      <c r="M14" t="s">
        <v>28</v>
      </c>
    </row>
    <row r="15" spans="1:13" x14ac:dyDescent="0.3">
      <c r="A15" t="s">
        <v>65</v>
      </c>
      <c r="B15" s="4">
        <v>45352</v>
      </c>
      <c r="C15" s="6">
        <v>0.9868055555555556</v>
      </c>
      <c r="D15" t="s">
        <v>66</v>
      </c>
      <c r="E15" t="s">
        <v>39</v>
      </c>
      <c r="F15">
        <v>30</v>
      </c>
      <c r="G15" t="s">
        <v>45</v>
      </c>
      <c r="H15" t="s">
        <v>67</v>
      </c>
      <c r="I15" t="s">
        <v>26</v>
      </c>
      <c r="K15">
        <v>43</v>
      </c>
      <c r="L15" t="s">
        <v>46</v>
      </c>
      <c r="M15" t="s">
        <v>32</v>
      </c>
    </row>
    <row r="16" spans="1:13" x14ac:dyDescent="0.3">
      <c r="A16" t="s">
        <v>68</v>
      </c>
      <c r="B16" s="4">
        <v>45352</v>
      </c>
      <c r="C16" s="6">
        <v>0.30972222222222223</v>
      </c>
      <c r="D16" t="s">
        <v>69</v>
      </c>
      <c r="E16" t="s">
        <v>39</v>
      </c>
      <c r="F16">
        <v>37</v>
      </c>
      <c r="G16" t="s">
        <v>24</v>
      </c>
      <c r="H16" t="s">
        <v>67</v>
      </c>
      <c r="I16" t="s">
        <v>41</v>
      </c>
      <c r="K16">
        <v>27</v>
      </c>
      <c r="L16" t="s">
        <v>31</v>
      </c>
      <c r="M16" t="s">
        <v>28</v>
      </c>
    </row>
    <row r="17" spans="1:13" x14ac:dyDescent="0.3">
      <c r="A17" t="s">
        <v>70</v>
      </c>
      <c r="B17" s="4">
        <v>45352</v>
      </c>
      <c r="C17" s="6">
        <v>0.42708333333333331</v>
      </c>
      <c r="D17" t="s">
        <v>71</v>
      </c>
      <c r="E17" t="s">
        <v>39</v>
      </c>
      <c r="F17">
        <v>39</v>
      </c>
      <c r="G17" t="s">
        <v>24</v>
      </c>
      <c r="H17" t="s">
        <v>72</v>
      </c>
      <c r="I17" t="s">
        <v>41</v>
      </c>
      <c r="K17">
        <v>37</v>
      </c>
      <c r="L17" t="s">
        <v>31</v>
      </c>
      <c r="M17" t="s">
        <v>32</v>
      </c>
    </row>
    <row r="18" spans="1:13" x14ac:dyDescent="0.3">
      <c r="A18" t="s">
        <v>73</v>
      </c>
      <c r="B18" s="4">
        <v>45352</v>
      </c>
      <c r="C18" s="6">
        <v>0.10486111111111111</v>
      </c>
      <c r="D18" t="s">
        <v>74</v>
      </c>
      <c r="E18" t="s">
        <v>23</v>
      </c>
      <c r="F18">
        <v>20</v>
      </c>
      <c r="G18" t="s">
        <v>75</v>
      </c>
      <c r="H18" t="s">
        <v>58</v>
      </c>
      <c r="I18" t="s">
        <v>26</v>
      </c>
      <c r="J18">
        <v>8</v>
      </c>
      <c r="K18">
        <v>22</v>
      </c>
      <c r="L18" t="s">
        <v>42</v>
      </c>
      <c r="M18" t="s">
        <v>28</v>
      </c>
    </row>
    <row r="19" spans="1:13" x14ac:dyDescent="0.3">
      <c r="A19" t="s">
        <v>76</v>
      </c>
      <c r="B19" s="4">
        <v>45352</v>
      </c>
      <c r="C19" s="6">
        <v>0.51111111111111107</v>
      </c>
      <c r="D19" t="s">
        <v>77</v>
      </c>
      <c r="E19" t="s">
        <v>23</v>
      </c>
      <c r="F19">
        <v>9</v>
      </c>
      <c r="G19" t="s">
        <v>35</v>
      </c>
      <c r="H19" t="s">
        <v>51</v>
      </c>
      <c r="I19" t="s">
        <v>41</v>
      </c>
      <c r="J19">
        <v>10</v>
      </c>
      <c r="K19">
        <v>47</v>
      </c>
      <c r="L19" t="s">
        <v>52</v>
      </c>
      <c r="M19" t="s">
        <v>32</v>
      </c>
    </row>
    <row r="20" spans="1:13" x14ac:dyDescent="0.3">
      <c r="A20" t="s">
        <v>78</v>
      </c>
      <c r="B20" s="4">
        <v>45352</v>
      </c>
      <c r="C20" s="6">
        <v>0.37361111111111112</v>
      </c>
      <c r="D20" t="s">
        <v>79</v>
      </c>
      <c r="E20" t="s">
        <v>23</v>
      </c>
      <c r="F20">
        <v>22</v>
      </c>
      <c r="G20" t="s">
        <v>45</v>
      </c>
      <c r="H20" t="s">
        <v>25</v>
      </c>
      <c r="I20" t="s">
        <v>41</v>
      </c>
      <c r="J20">
        <v>8</v>
      </c>
      <c r="K20">
        <v>31</v>
      </c>
      <c r="L20" t="s">
        <v>46</v>
      </c>
      <c r="M20" t="s">
        <v>32</v>
      </c>
    </row>
    <row r="21" spans="1:13" x14ac:dyDescent="0.3">
      <c r="A21" t="s">
        <v>80</v>
      </c>
      <c r="B21" s="4">
        <v>45352</v>
      </c>
      <c r="C21" s="6">
        <v>0.93541666666666667</v>
      </c>
      <c r="D21" t="s">
        <v>81</v>
      </c>
      <c r="E21" t="s">
        <v>39</v>
      </c>
      <c r="F21">
        <v>78</v>
      </c>
      <c r="G21" t="s">
        <v>75</v>
      </c>
      <c r="H21" t="s">
        <v>25</v>
      </c>
      <c r="I21" t="s">
        <v>41</v>
      </c>
      <c r="J21">
        <v>1</v>
      </c>
      <c r="K21">
        <v>60</v>
      </c>
      <c r="L21" t="s">
        <v>82</v>
      </c>
      <c r="M21" t="s">
        <v>32</v>
      </c>
    </row>
    <row r="22" spans="1:13" x14ac:dyDescent="0.3">
      <c r="A22" t="s">
        <v>83</v>
      </c>
      <c r="B22" s="4">
        <v>45352</v>
      </c>
      <c r="C22" s="6">
        <v>0.48958333333333331</v>
      </c>
      <c r="D22" t="s">
        <v>84</v>
      </c>
      <c r="E22" t="s">
        <v>23</v>
      </c>
      <c r="F22">
        <v>31</v>
      </c>
      <c r="G22" t="s">
        <v>24</v>
      </c>
      <c r="H22" t="s">
        <v>25</v>
      </c>
      <c r="I22" t="s">
        <v>41</v>
      </c>
      <c r="J22">
        <v>9</v>
      </c>
      <c r="K22">
        <v>25</v>
      </c>
      <c r="L22" t="s">
        <v>31</v>
      </c>
      <c r="M22"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10D0-0D9F-4FA0-A8C1-6F0A628DD7EC}">
  <dimension ref="A1:M79"/>
  <sheetViews>
    <sheetView workbookViewId="0"/>
  </sheetViews>
  <sheetFormatPr defaultRowHeight="14.4" x14ac:dyDescent="0.3"/>
  <cols>
    <col min="1" max="13" width="36.5546875" bestFit="1" customWidth="1"/>
  </cols>
  <sheetData>
    <row r="1" spans="1:13" x14ac:dyDescent="0.3">
      <c r="A1" s="7" t="s">
        <v>247</v>
      </c>
    </row>
    <row r="3" spans="1:13" x14ac:dyDescent="0.3">
      <c r="A3" t="s">
        <v>8</v>
      </c>
      <c r="B3" t="s">
        <v>9</v>
      </c>
      <c r="C3" t="s">
        <v>10</v>
      </c>
      <c r="D3" t="s">
        <v>11</v>
      </c>
      <c r="E3" t="s">
        <v>12</v>
      </c>
      <c r="F3" t="s">
        <v>13</v>
      </c>
      <c r="G3" t="s">
        <v>14</v>
      </c>
      <c r="H3" t="s">
        <v>15</v>
      </c>
      <c r="I3" t="s">
        <v>16</v>
      </c>
      <c r="J3" t="s">
        <v>17</v>
      </c>
      <c r="K3" t="s">
        <v>18</v>
      </c>
      <c r="L3" t="s">
        <v>19</v>
      </c>
      <c r="M3" t="s">
        <v>20</v>
      </c>
    </row>
    <row r="4" spans="1:13" x14ac:dyDescent="0.3">
      <c r="A4" t="s">
        <v>93</v>
      </c>
      <c r="B4" s="4">
        <v>45298</v>
      </c>
      <c r="C4" s="6">
        <v>0.2048611111111111</v>
      </c>
      <c r="D4" t="s">
        <v>94</v>
      </c>
      <c r="E4" t="s">
        <v>39</v>
      </c>
      <c r="F4">
        <v>10</v>
      </c>
      <c r="G4" t="s">
        <v>24</v>
      </c>
      <c r="H4" t="s">
        <v>25</v>
      </c>
      <c r="I4" t="s">
        <v>26</v>
      </c>
      <c r="K4">
        <v>39</v>
      </c>
      <c r="L4" t="s">
        <v>52</v>
      </c>
      <c r="M4" t="s">
        <v>32</v>
      </c>
    </row>
    <row r="5" spans="1:13" x14ac:dyDescent="0.3">
      <c r="A5" t="s">
        <v>95</v>
      </c>
      <c r="B5" s="4">
        <v>45304</v>
      </c>
      <c r="C5" s="6">
        <v>0.31805555555555554</v>
      </c>
      <c r="D5" t="s">
        <v>96</v>
      </c>
      <c r="E5" t="s">
        <v>39</v>
      </c>
      <c r="F5">
        <v>4</v>
      </c>
      <c r="G5" t="s">
        <v>24</v>
      </c>
      <c r="H5" t="s">
        <v>25</v>
      </c>
      <c r="I5" t="s">
        <v>26</v>
      </c>
      <c r="K5">
        <v>41</v>
      </c>
      <c r="L5" t="s">
        <v>52</v>
      </c>
      <c r="M5" t="s">
        <v>32</v>
      </c>
    </row>
    <row r="6" spans="1:13" x14ac:dyDescent="0.3">
      <c r="A6" t="s">
        <v>97</v>
      </c>
      <c r="B6" s="4">
        <v>45293</v>
      </c>
      <c r="C6" s="6">
        <v>0.12847222222222221</v>
      </c>
      <c r="D6" t="s">
        <v>98</v>
      </c>
      <c r="E6" t="s">
        <v>39</v>
      </c>
      <c r="F6">
        <v>2</v>
      </c>
      <c r="G6" t="s">
        <v>24</v>
      </c>
      <c r="H6" t="s">
        <v>25</v>
      </c>
      <c r="I6" t="s">
        <v>26</v>
      </c>
      <c r="K6">
        <v>58</v>
      </c>
      <c r="L6" t="s">
        <v>52</v>
      </c>
      <c r="M6" t="s">
        <v>32</v>
      </c>
    </row>
    <row r="7" spans="1:13" x14ac:dyDescent="0.3">
      <c r="A7" t="s">
        <v>99</v>
      </c>
      <c r="B7" s="4">
        <v>45295</v>
      </c>
      <c r="C7" s="6">
        <v>0.68194444444444446</v>
      </c>
      <c r="D7" t="s">
        <v>100</v>
      </c>
      <c r="E7" t="s">
        <v>39</v>
      </c>
      <c r="F7">
        <v>5</v>
      </c>
      <c r="G7" t="s">
        <v>24</v>
      </c>
      <c r="H7" t="s">
        <v>25</v>
      </c>
      <c r="I7" t="s">
        <v>26</v>
      </c>
      <c r="K7">
        <v>48</v>
      </c>
      <c r="L7" t="s">
        <v>52</v>
      </c>
      <c r="M7" t="s">
        <v>32</v>
      </c>
    </row>
    <row r="8" spans="1:13" x14ac:dyDescent="0.3">
      <c r="A8" t="s">
        <v>101</v>
      </c>
      <c r="B8" s="4">
        <v>45302</v>
      </c>
      <c r="C8" s="6">
        <v>9.2361111111111116E-2</v>
      </c>
      <c r="D8" t="s">
        <v>102</v>
      </c>
      <c r="E8" t="s">
        <v>23</v>
      </c>
      <c r="F8">
        <v>8</v>
      </c>
      <c r="G8" t="s">
        <v>24</v>
      </c>
      <c r="H8" t="s">
        <v>25</v>
      </c>
      <c r="I8" t="s">
        <v>26</v>
      </c>
      <c r="K8">
        <v>10</v>
      </c>
      <c r="L8" t="s">
        <v>52</v>
      </c>
      <c r="M8" t="s">
        <v>28</v>
      </c>
    </row>
    <row r="9" spans="1:13" x14ac:dyDescent="0.3">
      <c r="A9" t="s">
        <v>103</v>
      </c>
      <c r="B9" s="4">
        <v>45307</v>
      </c>
      <c r="C9" s="6">
        <v>0.28055555555555556</v>
      </c>
      <c r="D9" t="s">
        <v>104</v>
      </c>
      <c r="E9" t="s">
        <v>39</v>
      </c>
      <c r="F9">
        <v>7</v>
      </c>
      <c r="G9" t="s">
        <v>24</v>
      </c>
      <c r="H9" t="s">
        <v>25</v>
      </c>
      <c r="I9" t="s">
        <v>41</v>
      </c>
      <c r="K9">
        <v>10</v>
      </c>
      <c r="L9" t="s">
        <v>52</v>
      </c>
      <c r="M9" t="s">
        <v>28</v>
      </c>
    </row>
    <row r="10" spans="1:13" x14ac:dyDescent="0.3">
      <c r="A10" t="s">
        <v>105</v>
      </c>
      <c r="B10" s="4">
        <v>45304</v>
      </c>
      <c r="C10" s="6">
        <v>3.1944444444444442E-2</v>
      </c>
      <c r="D10" t="s">
        <v>106</v>
      </c>
      <c r="E10" t="s">
        <v>39</v>
      </c>
      <c r="F10">
        <v>3</v>
      </c>
      <c r="G10" t="s">
        <v>35</v>
      </c>
      <c r="H10" t="s">
        <v>25</v>
      </c>
      <c r="I10" t="s">
        <v>41</v>
      </c>
      <c r="K10">
        <v>50</v>
      </c>
      <c r="L10" t="s">
        <v>52</v>
      </c>
      <c r="M10" t="s">
        <v>32</v>
      </c>
    </row>
    <row r="11" spans="1:13" x14ac:dyDescent="0.3">
      <c r="A11" t="s">
        <v>107</v>
      </c>
      <c r="B11" s="4">
        <v>45292</v>
      </c>
      <c r="C11" s="6">
        <v>0.6381944444444444</v>
      </c>
      <c r="D11" t="s">
        <v>108</v>
      </c>
      <c r="E11" t="s">
        <v>39</v>
      </c>
      <c r="F11">
        <v>8</v>
      </c>
      <c r="G11" t="s">
        <v>35</v>
      </c>
      <c r="H11" t="s">
        <v>25</v>
      </c>
      <c r="I11" t="s">
        <v>41</v>
      </c>
      <c r="K11">
        <v>23</v>
      </c>
      <c r="L11" t="s">
        <v>52</v>
      </c>
      <c r="M11" t="s">
        <v>28</v>
      </c>
    </row>
    <row r="12" spans="1:13" x14ac:dyDescent="0.3">
      <c r="A12" t="s">
        <v>109</v>
      </c>
      <c r="B12" s="4">
        <v>45305</v>
      </c>
      <c r="C12" s="6">
        <v>0.39861111111111114</v>
      </c>
      <c r="D12" t="s">
        <v>110</v>
      </c>
      <c r="E12" t="s">
        <v>39</v>
      </c>
      <c r="F12">
        <v>2</v>
      </c>
      <c r="G12" t="s">
        <v>35</v>
      </c>
      <c r="H12" t="s">
        <v>25</v>
      </c>
      <c r="I12" t="s">
        <v>41</v>
      </c>
      <c r="K12">
        <v>41</v>
      </c>
      <c r="L12" t="s">
        <v>52</v>
      </c>
      <c r="M12" t="s">
        <v>32</v>
      </c>
    </row>
    <row r="13" spans="1:13" x14ac:dyDescent="0.3">
      <c r="A13" t="s">
        <v>111</v>
      </c>
      <c r="B13" s="4">
        <v>45312</v>
      </c>
      <c r="C13" s="6">
        <v>0.60277777777777775</v>
      </c>
      <c r="D13" t="s">
        <v>112</v>
      </c>
      <c r="E13" t="s">
        <v>23</v>
      </c>
      <c r="F13">
        <v>5</v>
      </c>
      <c r="G13" t="s">
        <v>35</v>
      </c>
      <c r="H13" t="s">
        <v>25</v>
      </c>
      <c r="I13" t="s">
        <v>41</v>
      </c>
      <c r="K13">
        <v>39</v>
      </c>
      <c r="L13" t="s">
        <v>52</v>
      </c>
      <c r="M13" t="s">
        <v>32</v>
      </c>
    </row>
    <row r="14" spans="1:13" x14ac:dyDescent="0.3">
      <c r="A14" t="s">
        <v>113</v>
      </c>
      <c r="B14" s="4">
        <v>45319</v>
      </c>
      <c r="C14" s="6">
        <v>0.80972222222222223</v>
      </c>
      <c r="D14" t="s">
        <v>114</v>
      </c>
      <c r="E14" t="s">
        <v>23</v>
      </c>
      <c r="F14">
        <v>6</v>
      </c>
      <c r="G14" t="s">
        <v>35</v>
      </c>
      <c r="H14" t="s">
        <v>25</v>
      </c>
      <c r="I14" t="s">
        <v>41</v>
      </c>
      <c r="K14">
        <v>50</v>
      </c>
      <c r="L14" t="s">
        <v>52</v>
      </c>
      <c r="M14" t="s">
        <v>32</v>
      </c>
    </row>
    <row r="15" spans="1:13" x14ac:dyDescent="0.3">
      <c r="A15" t="s">
        <v>115</v>
      </c>
      <c r="B15" s="4">
        <v>45292</v>
      </c>
      <c r="C15" s="6">
        <v>0.48749999999999999</v>
      </c>
      <c r="D15" t="s">
        <v>116</v>
      </c>
      <c r="E15" t="s">
        <v>23</v>
      </c>
      <c r="F15">
        <v>8</v>
      </c>
      <c r="G15" t="s">
        <v>35</v>
      </c>
      <c r="H15" t="s">
        <v>25</v>
      </c>
      <c r="I15" t="s">
        <v>26</v>
      </c>
      <c r="K15">
        <v>21</v>
      </c>
      <c r="L15" t="s">
        <v>52</v>
      </c>
      <c r="M15" t="s">
        <v>28</v>
      </c>
    </row>
    <row r="16" spans="1:13" x14ac:dyDescent="0.3">
      <c r="A16" t="s">
        <v>117</v>
      </c>
      <c r="B16" s="4">
        <v>45318</v>
      </c>
      <c r="C16" s="6">
        <v>0.38819444444444445</v>
      </c>
      <c r="D16" t="s">
        <v>118</v>
      </c>
      <c r="E16" t="s">
        <v>39</v>
      </c>
      <c r="F16">
        <v>7</v>
      </c>
      <c r="G16" t="s">
        <v>35</v>
      </c>
      <c r="H16" t="s">
        <v>25</v>
      </c>
      <c r="I16" t="s">
        <v>26</v>
      </c>
      <c r="K16">
        <v>45</v>
      </c>
      <c r="L16" t="s">
        <v>52</v>
      </c>
      <c r="M16" t="s">
        <v>32</v>
      </c>
    </row>
    <row r="17" spans="1:13" x14ac:dyDescent="0.3">
      <c r="A17" t="s">
        <v>119</v>
      </c>
      <c r="B17" s="4">
        <v>45297</v>
      </c>
      <c r="C17" s="6">
        <v>8.3333333333333329E-2</v>
      </c>
      <c r="D17" t="s">
        <v>120</v>
      </c>
      <c r="E17" t="s">
        <v>23</v>
      </c>
      <c r="F17">
        <v>5</v>
      </c>
      <c r="G17" t="s">
        <v>40</v>
      </c>
      <c r="H17" t="s">
        <v>25</v>
      </c>
      <c r="I17" t="s">
        <v>41</v>
      </c>
      <c r="K17">
        <v>41</v>
      </c>
      <c r="L17" t="s">
        <v>52</v>
      </c>
      <c r="M17" t="s">
        <v>32</v>
      </c>
    </row>
    <row r="18" spans="1:13" x14ac:dyDescent="0.3">
      <c r="A18" t="s">
        <v>121</v>
      </c>
      <c r="B18" s="4">
        <v>45297</v>
      </c>
      <c r="C18" s="6">
        <v>0.34861111111111109</v>
      </c>
      <c r="D18" t="s">
        <v>122</v>
      </c>
      <c r="E18" t="s">
        <v>23</v>
      </c>
      <c r="F18">
        <v>9</v>
      </c>
      <c r="G18" t="s">
        <v>40</v>
      </c>
      <c r="H18" t="s">
        <v>25</v>
      </c>
      <c r="I18" t="s">
        <v>41</v>
      </c>
      <c r="K18">
        <v>15</v>
      </c>
      <c r="L18" t="s">
        <v>52</v>
      </c>
      <c r="M18" t="s">
        <v>28</v>
      </c>
    </row>
    <row r="19" spans="1:13" x14ac:dyDescent="0.3">
      <c r="A19" t="s">
        <v>123</v>
      </c>
      <c r="B19" s="4">
        <v>45320</v>
      </c>
      <c r="C19" s="6">
        <v>0.7583333333333333</v>
      </c>
      <c r="D19" t="s">
        <v>124</v>
      </c>
      <c r="E19" t="s">
        <v>23</v>
      </c>
      <c r="F19">
        <v>10</v>
      </c>
      <c r="G19" t="s">
        <v>40</v>
      </c>
      <c r="H19" t="s">
        <v>25</v>
      </c>
      <c r="I19" t="s">
        <v>41</v>
      </c>
      <c r="K19">
        <v>38</v>
      </c>
      <c r="L19" t="s">
        <v>52</v>
      </c>
      <c r="M19" t="s">
        <v>32</v>
      </c>
    </row>
    <row r="20" spans="1:13" x14ac:dyDescent="0.3">
      <c r="A20" t="s">
        <v>125</v>
      </c>
      <c r="B20" s="4">
        <v>45318</v>
      </c>
      <c r="C20" s="6">
        <v>0.80972222222222223</v>
      </c>
      <c r="D20" t="s">
        <v>126</v>
      </c>
      <c r="E20" t="s">
        <v>39</v>
      </c>
      <c r="F20">
        <v>8</v>
      </c>
      <c r="G20" t="s">
        <v>40</v>
      </c>
      <c r="H20" t="s">
        <v>25</v>
      </c>
      <c r="I20" t="s">
        <v>26</v>
      </c>
      <c r="K20">
        <v>33</v>
      </c>
      <c r="L20" t="s">
        <v>52</v>
      </c>
      <c r="M20" t="s">
        <v>32</v>
      </c>
    </row>
    <row r="21" spans="1:13" x14ac:dyDescent="0.3">
      <c r="A21" t="s">
        <v>127</v>
      </c>
      <c r="B21" s="4">
        <v>45314</v>
      </c>
      <c r="C21" s="6">
        <v>0.4201388888888889</v>
      </c>
      <c r="D21" t="s">
        <v>128</v>
      </c>
      <c r="E21" t="s">
        <v>39</v>
      </c>
      <c r="F21">
        <v>8</v>
      </c>
      <c r="G21" t="s">
        <v>40</v>
      </c>
      <c r="H21" t="s">
        <v>25</v>
      </c>
      <c r="I21" t="s">
        <v>26</v>
      </c>
      <c r="K21">
        <v>53</v>
      </c>
      <c r="L21" t="s">
        <v>52</v>
      </c>
      <c r="M21" t="s">
        <v>32</v>
      </c>
    </row>
    <row r="22" spans="1:13" x14ac:dyDescent="0.3">
      <c r="A22" t="s">
        <v>129</v>
      </c>
      <c r="B22" s="4">
        <v>45313</v>
      </c>
      <c r="C22" s="6">
        <v>0.54305555555555551</v>
      </c>
      <c r="D22" t="s">
        <v>130</v>
      </c>
      <c r="E22" t="s">
        <v>39</v>
      </c>
      <c r="F22">
        <v>8</v>
      </c>
      <c r="G22" t="s">
        <v>40</v>
      </c>
      <c r="H22" t="s">
        <v>25</v>
      </c>
      <c r="I22" t="s">
        <v>41</v>
      </c>
      <c r="K22">
        <v>45</v>
      </c>
      <c r="L22" t="s">
        <v>52</v>
      </c>
      <c r="M22" t="s">
        <v>32</v>
      </c>
    </row>
    <row r="23" spans="1:13" x14ac:dyDescent="0.3">
      <c r="A23" t="s">
        <v>131</v>
      </c>
      <c r="B23" s="4">
        <v>45316</v>
      </c>
      <c r="C23" s="6">
        <v>0.29166666666666669</v>
      </c>
      <c r="D23" t="s">
        <v>132</v>
      </c>
      <c r="E23" t="s">
        <v>39</v>
      </c>
      <c r="F23">
        <v>7</v>
      </c>
      <c r="G23" t="s">
        <v>45</v>
      </c>
      <c r="H23" t="s">
        <v>25</v>
      </c>
      <c r="I23" t="s">
        <v>26</v>
      </c>
      <c r="K23">
        <v>55</v>
      </c>
      <c r="L23" t="s">
        <v>52</v>
      </c>
      <c r="M23" t="s">
        <v>32</v>
      </c>
    </row>
    <row r="24" spans="1:13" x14ac:dyDescent="0.3">
      <c r="A24" t="s">
        <v>133</v>
      </c>
      <c r="B24" s="4">
        <v>45295</v>
      </c>
      <c r="C24" s="6">
        <v>0.27361111111111114</v>
      </c>
      <c r="D24" t="s">
        <v>134</v>
      </c>
      <c r="E24" t="s">
        <v>23</v>
      </c>
      <c r="F24">
        <v>9</v>
      </c>
      <c r="G24" t="s">
        <v>45</v>
      </c>
      <c r="H24" t="s">
        <v>25</v>
      </c>
      <c r="I24" t="s">
        <v>41</v>
      </c>
      <c r="K24">
        <v>30</v>
      </c>
      <c r="L24" t="s">
        <v>52</v>
      </c>
      <c r="M24" t="s">
        <v>28</v>
      </c>
    </row>
    <row r="25" spans="1:13" x14ac:dyDescent="0.3">
      <c r="A25" t="s">
        <v>135</v>
      </c>
      <c r="B25" s="4">
        <v>45319</v>
      </c>
      <c r="C25" s="6">
        <v>0.11944444444444445</v>
      </c>
      <c r="D25" t="s">
        <v>136</v>
      </c>
      <c r="E25" t="s">
        <v>23</v>
      </c>
      <c r="F25">
        <v>5</v>
      </c>
      <c r="G25" t="s">
        <v>57</v>
      </c>
      <c r="H25" t="s">
        <v>25</v>
      </c>
      <c r="I25" t="s">
        <v>26</v>
      </c>
      <c r="K25">
        <v>50</v>
      </c>
      <c r="L25" t="s">
        <v>52</v>
      </c>
      <c r="M25" t="s">
        <v>32</v>
      </c>
    </row>
    <row r="26" spans="1:13" x14ac:dyDescent="0.3">
      <c r="A26" t="s">
        <v>137</v>
      </c>
      <c r="B26" s="4">
        <v>45309</v>
      </c>
      <c r="C26" s="6">
        <v>0.31874999999999998</v>
      </c>
      <c r="D26" t="s">
        <v>138</v>
      </c>
      <c r="E26" t="s">
        <v>39</v>
      </c>
      <c r="F26">
        <v>8</v>
      </c>
      <c r="G26" t="s">
        <v>57</v>
      </c>
      <c r="H26" t="s">
        <v>25</v>
      </c>
      <c r="I26" t="s">
        <v>41</v>
      </c>
      <c r="K26">
        <v>21</v>
      </c>
      <c r="L26" t="s">
        <v>52</v>
      </c>
      <c r="M26" t="s">
        <v>28</v>
      </c>
    </row>
    <row r="27" spans="1:13" x14ac:dyDescent="0.3">
      <c r="A27" t="s">
        <v>139</v>
      </c>
      <c r="B27" s="4">
        <v>45297</v>
      </c>
      <c r="C27" s="6">
        <v>0.68819444444444444</v>
      </c>
      <c r="D27" t="s">
        <v>140</v>
      </c>
      <c r="E27" t="s">
        <v>39</v>
      </c>
      <c r="F27">
        <v>3</v>
      </c>
      <c r="G27" t="s">
        <v>57</v>
      </c>
      <c r="H27" t="s">
        <v>25</v>
      </c>
      <c r="I27" t="s">
        <v>41</v>
      </c>
      <c r="K27">
        <v>38</v>
      </c>
      <c r="L27" t="s">
        <v>52</v>
      </c>
      <c r="M27" t="s">
        <v>32</v>
      </c>
    </row>
    <row r="28" spans="1:13" x14ac:dyDescent="0.3">
      <c r="A28" t="s">
        <v>141</v>
      </c>
      <c r="B28" s="4">
        <v>45313</v>
      </c>
      <c r="C28" s="6">
        <v>0.26805555555555555</v>
      </c>
      <c r="D28" t="s">
        <v>142</v>
      </c>
      <c r="E28" t="s">
        <v>39</v>
      </c>
      <c r="F28">
        <v>2</v>
      </c>
      <c r="G28" t="s">
        <v>57</v>
      </c>
      <c r="H28" t="s">
        <v>25</v>
      </c>
      <c r="I28" t="s">
        <v>41</v>
      </c>
      <c r="K28">
        <v>44</v>
      </c>
      <c r="L28" t="s">
        <v>52</v>
      </c>
      <c r="M28" t="s">
        <v>32</v>
      </c>
    </row>
    <row r="29" spans="1:13" x14ac:dyDescent="0.3">
      <c r="A29" t="s">
        <v>143</v>
      </c>
      <c r="B29" s="4">
        <v>45311</v>
      </c>
      <c r="C29" s="6">
        <v>0.44374999999999998</v>
      </c>
      <c r="D29" t="s">
        <v>144</v>
      </c>
      <c r="E29" t="s">
        <v>23</v>
      </c>
      <c r="F29">
        <v>1</v>
      </c>
      <c r="G29" t="s">
        <v>75</v>
      </c>
      <c r="H29" t="s">
        <v>25</v>
      </c>
      <c r="I29" t="s">
        <v>41</v>
      </c>
      <c r="K29">
        <v>54</v>
      </c>
      <c r="L29" t="s">
        <v>52</v>
      </c>
      <c r="M29" t="s">
        <v>32</v>
      </c>
    </row>
    <row r="30" spans="1:13" x14ac:dyDescent="0.3">
      <c r="A30" t="s">
        <v>145</v>
      </c>
      <c r="B30" s="4">
        <v>45296</v>
      </c>
      <c r="C30" s="6">
        <v>0.98750000000000004</v>
      </c>
      <c r="D30" t="s">
        <v>146</v>
      </c>
      <c r="E30" t="s">
        <v>39</v>
      </c>
      <c r="F30">
        <v>8</v>
      </c>
      <c r="G30" t="s">
        <v>75</v>
      </c>
      <c r="H30" t="s">
        <v>25</v>
      </c>
      <c r="I30" t="s">
        <v>26</v>
      </c>
      <c r="K30">
        <v>56</v>
      </c>
      <c r="L30" t="s">
        <v>52</v>
      </c>
      <c r="M30" t="s">
        <v>32</v>
      </c>
    </row>
    <row r="31" spans="1:13" x14ac:dyDescent="0.3">
      <c r="A31" t="s">
        <v>147</v>
      </c>
      <c r="B31" s="4">
        <v>45320</v>
      </c>
      <c r="C31" s="6">
        <v>0.25347222222222221</v>
      </c>
      <c r="D31" t="s">
        <v>148</v>
      </c>
      <c r="E31" t="s">
        <v>39</v>
      </c>
      <c r="F31">
        <v>9</v>
      </c>
      <c r="G31" t="s">
        <v>149</v>
      </c>
      <c r="H31" t="s">
        <v>25</v>
      </c>
      <c r="I31" t="s">
        <v>26</v>
      </c>
      <c r="K31">
        <v>44</v>
      </c>
      <c r="L31" t="s">
        <v>52</v>
      </c>
      <c r="M31" t="s">
        <v>32</v>
      </c>
    </row>
    <row r="32" spans="1:13" x14ac:dyDescent="0.3">
      <c r="A32" t="s">
        <v>150</v>
      </c>
      <c r="B32" s="4">
        <v>45295</v>
      </c>
      <c r="C32" s="6">
        <v>0.55277777777777781</v>
      </c>
      <c r="D32" t="s">
        <v>151</v>
      </c>
      <c r="E32" t="s">
        <v>23</v>
      </c>
      <c r="F32">
        <v>1</v>
      </c>
      <c r="G32" t="s">
        <v>75</v>
      </c>
      <c r="H32" t="s">
        <v>51</v>
      </c>
      <c r="I32" t="s">
        <v>41</v>
      </c>
      <c r="K32">
        <v>25</v>
      </c>
      <c r="L32" t="s">
        <v>52</v>
      </c>
      <c r="M32" t="s">
        <v>28</v>
      </c>
    </row>
    <row r="33" spans="1:13" x14ac:dyDescent="0.3">
      <c r="A33" t="s">
        <v>152</v>
      </c>
      <c r="B33" s="4">
        <v>45297</v>
      </c>
      <c r="C33" s="6">
        <v>0.81180555555555556</v>
      </c>
      <c r="D33" t="s">
        <v>153</v>
      </c>
      <c r="E33" t="s">
        <v>39</v>
      </c>
      <c r="F33">
        <v>5</v>
      </c>
      <c r="G33" t="s">
        <v>75</v>
      </c>
      <c r="H33" t="s">
        <v>51</v>
      </c>
      <c r="I33" t="s">
        <v>41</v>
      </c>
      <c r="K33">
        <v>16</v>
      </c>
      <c r="L33" t="s">
        <v>52</v>
      </c>
      <c r="M33" t="s">
        <v>28</v>
      </c>
    </row>
    <row r="34" spans="1:13" x14ac:dyDescent="0.3">
      <c r="A34" t="s">
        <v>154</v>
      </c>
      <c r="B34" s="4">
        <v>45315</v>
      </c>
      <c r="C34" s="6">
        <v>0.13333333333333333</v>
      </c>
      <c r="D34" t="s">
        <v>155</v>
      </c>
      <c r="E34" t="s">
        <v>39</v>
      </c>
      <c r="F34">
        <v>2</v>
      </c>
      <c r="G34" t="s">
        <v>45</v>
      </c>
      <c r="H34" t="s">
        <v>51</v>
      </c>
      <c r="I34" t="s">
        <v>41</v>
      </c>
      <c r="K34">
        <v>33</v>
      </c>
      <c r="L34" t="s">
        <v>52</v>
      </c>
      <c r="M34" t="s">
        <v>32</v>
      </c>
    </row>
    <row r="35" spans="1:13" x14ac:dyDescent="0.3">
      <c r="A35" t="s">
        <v>156</v>
      </c>
      <c r="B35" s="4">
        <v>45317</v>
      </c>
      <c r="C35" s="6">
        <v>0.24861111111111112</v>
      </c>
      <c r="D35" t="s">
        <v>157</v>
      </c>
      <c r="E35" t="s">
        <v>39</v>
      </c>
      <c r="F35">
        <v>8</v>
      </c>
      <c r="G35" t="s">
        <v>57</v>
      </c>
      <c r="H35" t="s">
        <v>51</v>
      </c>
      <c r="I35" t="s">
        <v>41</v>
      </c>
      <c r="K35">
        <v>16</v>
      </c>
      <c r="L35" t="s">
        <v>52</v>
      </c>
      <c r="M35" t="s">
        <v>28</v>
      </c>
    </row>
    <row r="36" spans="1:13" x14ac:dyDescent="0.3">
      <c r="A36" t="s">
        <v>158</v>
      </c>
      <c r="B36" s="4">
        <v>45322</v>
      </c>
      <c r="C36" s="6">
        <v>0.37708333333333333</v>
      </c>
      <c r="D36" t="s">
        <v>159</v>
      </c>
      <c r="E36" t="s">
        <v>39</v>
      </c>
      <c r="F36">
        <v>4</v>
      </c>
      <c r="G36" t="s">
        <v>57</v>
      </c>
      <c r="H36" t="s">
        <v>51</v>
      </c>
      <c r="I36" t="s">
        <v>41</v>
      </c>
      <c r="K36">
        <v>44</v>
      </c>
      <c r="L36" t="s">
        <v>52</v>
      </c>
      <c r="M36" t="s">
        <v>32</v>
      </c>
    </row>
    <row r="37" spans="1:13" x14ac:dyDescent="0.3">
      <c r="A37" t="s">
        <v>160</v>
      </c>
      <c r="B37" s="4">
        <v>45292</v>
      </c>
      <c r="C37" s="6">
        <v>0.41875000000000001</v>
      </c>
      <c r="D37" t="s">
        <v>161</v>
      </c>
      <c r="E37" t="s">
        <v>39</v>
      </c>
      <c r="F37">
        <v>6</v>
      </c>
      <c r="G37" t="s">
        <v>57</v>
      </c>
      <c r="H37" t="s">
        <v>51</v>
      </c>
      <c r="I37" t="s">
        <v>26</v>
      </c>
      <c r="K37">
        <v>52</v>
      </c>
      <c r="L37" t="s">
        <v>52</v>
      </c>
      <c r="M37" t="s">
        <v>32</v>
      </c>
    </row>
    <row r="38" spans="1:13" x14ac:dyDescent="0.3">
      <c r="A38" t="s">
        <v>162</v>
      </c>
      <c r="B38" s="4">
        <v>45309</v>
      </c>
      <c r="C38" s="6">
        <v>0.60833333333333328</v>
      </c>
      <c r="D38" t="s">
        <v>163</v>
      </c>
      <c r="E38" t="s">
        <v>39</v>
      </c>
      <c r="F38">
        <v>2</v>
      </c>
      <c r="G38" t="s">
        <v>40</v>
      </c>
      <c r="H38" t="s">
        <v>51</v>
      </c>
      <c r="I38" t="s">
        <v>26</v>
      </c>
      <c r="K38">
        <v>33</v>
      </c>
      <c r="L38" t="s">
        <v>52</v>
      </c>
      <c r="M38" t="s">
        <v>32</v>
      </c>
    </row>
    <row r="39" spans="1:13" x14ac:dyDescent="0.3">
      <c r="A39" t="s">
        <v>164</v>
      </c>
      <c r="B39" s="4">
        <v>45316</v>
      </c>
      <c r="C39" s="6">
        <v>2.6388888888888889E-2</v>
      </c>
      <c r="D39" t="s">
        <v>165</v>
      </c>
      <c r="E39" t="s">
        <v>23</v>
      </c>
      <c r="F39">
        <v>5</v>
      </c>
      <c r="G39" t="s">
        <v>40</v>
      </c>
      <c r="H39" t="s">
        <v>51</v>
      </c>
      <c r="I39" t="s">
        <v>26</v>
      </c>
      <c r="K39">
        <v>24</v>
      </c>
      <c r="L39" t="s">
        <v>52</v>
      </c>
      <c r="M39" t="s">
        <v>28</v>
      </c>
    </row>
    <row r="40" spans="1:13" x14ac:dyDescent="0.3">
      <c r="A40" t="s">
        <v>166</v>
      </c>
      <c r="B40" s="4">
        <v>45307</v>
      </c>
      <c r="C40" s="6">
        <v>0.24652777777777779</v>
      </c>
      <c r="D40" t="s">
        <v>167</v>
      </c>
      <c r="E40" t="s">
        <v>23</v>
      </c>
      <c r="F40">
        <v>1</v>
      </c>
      <c r="G40" t="s">
        <v>35</v>
      </c>
      <c r="H40" t="s">
        <v>51</v>
      </c>
      <c r="I40" t="s">
        <v>41</v>
      </c>
      <c r="K40">
        <v>47</v>
      </c>
      <c r="L40" t="s">
        <v>52</v>
      </c>
      <c r="M40" t="s">
        <v>32</v>
      </c>
    </row>
    <row r="41" spans="1:13" x14ac:dyDescent="0.3">
      <c r="A41" t="s">
        <v>168</v>
      </c>
      <c r="B41" s="4">
        <v>45293</v>
      </c>
      <c r="C41" s="6">
        <v>0.29791666666666666</v>
      </c>
      <c r="D41" t="s">
        <v>169</v>
      </c>
      <c r="E41" t="s">
        <v>39</v>
      </c>
      <c r="F41">
        <v>3</v>
      </c>
      <c r="G41" t="s">
        <v>35</v>
      </c>
      <c r="H41" t="s">
        <v>51</v>
      </c>
      <c r="I41" t="s">
        <v>26</v>
      </c>
      <c r="K41">
        <v>27</v>
      </c>
      <c r="L41" t="s">
        <v>52</v>
      </c>
      <c r="M41" t="s">
        <v>28</v>
      </c>
    </row>
    <row r="42" spans="1:13" x14ac:dyDescent="0.3">
      <c r="A42" t="s">
        <v>170</v>
      </c>
      <c r="B42" s="4">
        <v>45316</v>
      </c>
      <c r="C42" s="6">
        <v>0.72986111111111107</v>
      </c>
      <c r="D42" t="s">
        <v>171</v>
      </c>
      <c r="E42" t="s">
        <v>23</v>
      </c>
      <c r="F42">
        <v>8</v>
      </c>
      <c r="G42" t="s">
        <v>24</v>
      </c>
      <c r="H42" t="s">
        <v>51</v>
      </c>
      <c r="I42" t="s">
        <v>26</v>
      </c>
      <c r="K42">
        <v>53</v>
      </c>
      <c r="L42" t="s">
        <v>52</v>
      </c>
      <c r="M42" t="s">
        <v>32</v>
      </c>
    </row>
    <row r="43" spans="1:13" x14ac:dyDescent="0.3">
      <c r="A43" t="s">
        <v>172</v>
      </c>
      <c r="B43" s="4">
        <v>45310</v>
      </c>
      <c r="C43" s="6">
        <v>0.34652777777777777</v>
      </c>
      <c r="D43" t="s">
        <v>173</v>
      </c>
      <c r="E43" t="s">
        <v>39</v>
      </c>
      <c r="F43">
        <v>7</v>
      </c>
      <c r="G43" t="s">
        <v>24</v>
      </c>
      <c r="H43" t="s">
        <v>51</v>
      </c>
      <c r="I43" t="s">
        <v>26</v>
      </c>
      <c r="K43">
        <v>28</v>
      </c>
      <c r="L43" t="s">
        <v>52</v>
      </c>
      <c r="M43" t="s">
        <v>28</v>
      </c>
    </row>
    <row r="44" spans="1:13" x14ac:dyDescent="0.3">
      <c r="A44" t="s">
        <v>174</v>
      </c>
      <c r="B44" s="4">
        <v>45309</v>
      </c>
      <c r="C44" s="6">
        <v>0.4284722222222222</v>
      </c>
      <c r="D44" t="s">
        <v>175</v>
      </c>
      <c r="E44" t="s">
        <v>23</v>
      </c>
      <c r="F44">
        <v>8</v>
      </c>
      <c r="G44" t="s">
        <v>24</v>
      </c>
      <c r="H44" t="s">
        <v>51</v>
      </c>
      <c r="I44" t="s">
        <v>41</v>
      </c>
      <c r="K44">
        <v>59</v>
      </c>
      <c r="L44" t="s">
        <v>52</v>
      </c>
      <c r="M44" t="s">
        <v>32</v>
      </c>
    </row>
    <row r="45" spans="1:13" x14ac:dyDescent="0.3">
      <c r="A45" t="s">
        <v>176</v>
      </c>
      <c r="B45" s="4">
        <v>45303</v>
      </c>
      <c r="C45" s="6">
        <v>0.75069444444444444</v>
      </c>
      <c r="D45" t="s">
        <v>177</v>
      </c>
      <c r="E45" t="s">
        <v>39</v>
      </c>
      <c r="F45">
        <v>1</v>
      </c>
      <c r="G45" t="s">
        <v>24</v>
      </c>
      <c r="H45" t="s">
        <v>51</v>
      </c>
      <c r="I45" t="s">
        <v>41</v>
      </c>
      <c r="K45">
        <v>25</v>
      </c>
      <c r="L45" t="s">
        <v>52</v>
      </c>
      <c r="M45" t="s">
        <v>28</v>
      </c>
    </row>
    <row r="46" spans="1:13" x14ac:dyDescent="0.3">
      <c r="A46" t="s">
        <v>178</v>
      </c>
      <c r="B46" s="4">
        <v>45302</v>
      </c>
      <c r="C46" s="6">
        <v>0.44027777777777777</v>
      </c>
      <c r="D46" t="s">
        <v>179</v>
      </c>
      <c r="E46" t="s">
        <v>39</v>
      </c>
      <c r="F46">
        <v>6</v>
      </c>
      <c r="G46" t="s">
        <v>24</v>
      </c>
      <c r="H46" t="s">
        <v>51</v>
      </c>
      <c r="I46" t="s">
        <v>41</v>
      </c>
      <c r="K46">
        <v>44</v>
      </c>
      <c r="L46" t="s">
        <v>52</v>
      </c>
      <c r="M46" t="s">
        <v>32</v>
      </c>
    </row>
    <row r="47" spans="1:13" x14ac:dyDescent="0.3">
      <c r="A47" t="s">
        <v>180</v>
      </c>
      <c r="B47" s="4">
        <v>45312</v>
      </c>
      <c r="C47" s="6">
        <v>0.14930555555555555</v>
      </c>
      <c r="D47" t="s">
        <v>181</v>
      </c>
      <c r="E47" t="s">
        <v>39</v>
      </c>
      <c r="F47">
        <v>7</v>
      </c>
      <c r="G47" t="s">
        <v>24</v>
      </c>
      <c r="H47" t="s">
        <v>51</v>
      </c>
      <c r="I47" t="s">
        <v>41</v>
      </c>
      <c r="K47">
        <v>33</v>
      </c>
      <c r="L47" t="s">
        <v>52</v>
      </c>
      <c r="M47" t="s">
        <v>32</v>
      </c>
    </row>
    <row r="48" spans="1:13" x14ac:dyDescent="0.3">
      <c r="A48" t="s">
        <v>182</v>
      </c>
      <c r="B48" s="4">
        <v>45308</v>
      </c>
      <c r="C48" s="6">
        <v>0.52847222222222223</v>
      </c>
      <c r="D48" t="s">
        <v>183</v>
      </c>
      <c r="E48" t="s">
        <v>23</v>
      </c>
      <c r="F48">
        <v>4</v>
      </c>
      <c r="G48" t="s">
        <v>24</v>
      </c>
      <c r="H48" t="s">
        <v>58</v>
      </c>
      <c r="I48" t="s">
        <v>26</v>
      </c>
      <c r="K48">
        <v>53</v>
      </c>
      <c r="L48" t="s">
        <v>52</v>
      </c>
      <c r="M48" t="s">
        <v>32</v>
      </c>
    </row>
    <row r="49" spans="1:13" x14ac:dyDescent="0.3">
      <c r="A49" t="s">
        <v>184</v>
      </c>
      <c r="B49" s="4">
        <v>45293</v>
      </c>
      <c r="C49" s="6">
        <v>0.58750000000000002</v>
      </c>
      <c r="D49" t="s">
        <v>185</v>
      </c>
      <c r="E49" t="s">
        <v>39</v>
      </c>
      <c r="F49">
        <v>6</v>
      </c>
      <c r="G49" t="s">
        <v>35</v>
      </c>
      <c r="H49" t="s">
        <v>58</v>
      </c>
      <c r="I49" t="s">
        <v>26</v>
      </c>
      <c r="K49">
        <v>19</v>
      </c>
      <c r="L49" t="s">
        <v>52</v>
      </c>
      <c r="M49" t="s">
        <v>28</v>
      </c>
    </row>
    <row r="50" spans="1:13" x14ac:dyDescent="0.3">
      <c r="A50" t="s">
        <v>186</v>
      </c>
      <c r="B50" s="4">
        <v>45304</v>
      </c>
      <c r="C50" s="6">
        <v>6.1111111111111109E-2</v>
      </c>
      <c r="D50" t="s">
        <v>187</v>
      </c>
      <c r="E50" t="s">
        <v>23</v>
      </c>
      <c r="F50">
        <v>5</v>
      </c>
      <c r="G50" t="s">
        <v>45</v>
      </c>
      <c r="H50" t="s">
        <v>58</v>
      </c>
      <c r="I50" t="s">
        <v>41</v>
      </c>
      <c r="K50">
        <v>30</v>
      </c>
      <c r="L50" t="s">
        <v>52</v>
      </c>
      <c r="M50" t="s">
        <v>28</v>
      </c>
    </row>
    <row r="51" spans="1:13" x14ac:dyDescent="0.3">
      <c r="A51" t="s">
        <v>188</v>
      </c>
      <c r="B51" s="4">
        <v>45311</v>
      </c>
      <c r="C51" s="6">
        <v>0.95347222222222228</v>
      </c>
      <c r="D51" t="s">
        <v>189</v>
      </c>
      <c r="E51" t="s">
        <v>23</v>
      </c>
      <c r="F51">
        <v>3</v>
      </c>
      <c r="G51" t="s">
        <v>75</v>
      </c>
      <c r="H51" t="s">
        <v>58</v>
      </c>
      <c r="I51" t="s">
        <v>26</v>
      </c>
      <c r="K51">
        <v>54</v>
      </c>
      <c r="L51" t="s">
        <v>52</v>
      </c>
      <c r="M51" t="s">
        <v>32</v>
      </c>
    </row>
    <row r="52" spans="1:13" x14ac:dyDescent="0.3">
      <c r="A52" t="s">
        <v>190</v>
      </c>
      <c r="B52" s="4">
        <v>45306</v>
      </c>
      <c r="C52" s="6">
        <v>0.12222222222222222</v>
      </c>
      <c r="D52" t="s">
        <v>191</v>
      </c>
      <c r="E52" t="s">
        <v>23</v>
      </c>
      <c r="F52">
        <v>10</v>
      </c>
      <c r="G52" t="s">
        <v>57</v>
      </c>
      <c r="H52" t="s">
        <v>62</v>
      </c>
      <c r="I52" t="s">
        <v>41</v>
      </c>
      <c r="K52">
        <v>48</v>
      </c>
      <c r="L52" t="s">
        <v>52</v>
      </c>
      <c r="M52" t="s">
        <v>32</v>
      </c>
    </row>
    <row r="53" spans="1:13" x14ac:dyDescent="0.3">
      <c r="A53" t="s">
        <v>192</v>
      </c>
      <c r="B53" s="4">
        <v>45298</v>
      </c>
      <c r="C53" s="6">
        <v>0.12222222222222222</v>
      </c>
      <c r="D53" t="s">
        <v>193</v>
      </c>
      <c r="E53" t="s">
        <v>39</v>
      </c>
      <c r="F53">
        <v>7</v>
      </c>
      <c r="G53" t="s">
        <v>40</v>
      </c>
      <c r="H53" t="s">
        <v>62</v>
      </c>
      <c r="I53" t="s">
        <v>41</v>
      </c>
      <c r="K53">
        <v>46</v>
      </c>
      <c r="L53" t="s">
        <v>52</v>
      </c>
      <c r="M53" t="s">
        <v>32</v>
      </c>
    </row>
    <row r="54" spans="1:13" x14ac:dyDescent="0.3">
      <c r="A54" t="s">
        <v>194</v>
      </c>
      <c r="B54" s="4">
        <v>45319</v>
      </c>
      <c r="C54" s="6">
        <v>0.71111111111111114</v>
      </c>
      <c r="D54" t="s">
        <v>195</v>
      </c>
      <c r="E54" t="s">
        <v>23</v>
      </c>
      <c r="F54">
        <v>6</v>
      </c>
      <c r="G54" t="s">
        <v>149</v>
      </c>
      <c r="H54" t="s">
        <v>72</v>
      </c>
      <c r="I54" t="s">
        <v>41</v>
      </c>
      <c r="K54">
        <v>22</v>
      </c>
      <c r="L54" t="s">
        <v>52</v>
      </c>
      <c r="M54" t="s">
        <v>28</v>
      </c>
    </row>
    <row r="55" spans="1:13" x14ac:dyDescent="0.3">
      <c r="A55" t="s">
        <v>196</v>
      </c>
      <c r="B55" s="4">
        <v>45314</v>
      </c>
      <c r="C55" s="6">
        <v>0.69861111111111107</v>
      </c>
      <c r="D55" t="s">
        <v>197</v>
      </c>
      <c r="E55" t="s">
        <v>39</v>
      </c>
      <c r="F55">
        <v>6</v>
      </c>
      <c r="G55" t="s">
        <v>35</v>
      </c>
      <c r="H55" t="s">
        <v>198</v>
      </c>
      <c r="I55" t="s">
        <v>41</v>
      </c>
      <c r="K55">
        <v>39</v>
      </c>
      <c r="L55" t="s">
        <v>52</v>
      </c>
      <c r="M55" t="s">
        <v>32</v>
      </c>
    </row>
    <row r="56" spans="1:13" x14ac:dyDescent="0.3">
      <c r="A56" t="s">
        <v>199</v>
      </c>
      <c r="B56" s="4">
        <v>45306</v>
      </c>
      <c r="C56" s="6">
        <v>0.72083333333333333</v>
      </c>
      <c r="D56" t="s">
        <v>200</v>
      </c>
      <c r="E56" t="s">
        <v>23</v>
      </c>
      <c r="F56">
        <v>3</v>
      </c>
      <c r="G56" t="s">
        <v>24</v>
      </c>
      <c r="H56" t="s">
        <v>67</v>
      </c>
      <c r="I56" t="s">
        <v>26</v>
      </c>
      <c r="J56">
        <v>9</v>
      </c>
      <c r="K56">
        <v>11</v>
      </c>
      <c r="L56" t="s">
        <v>52</v>
      </c>
      <c r="M56" t="s">
        <v>28</v>
      </c>
    </row>
    <row r="57" spans="1:13" x14ac:dyDescent="0.3">
      <c r="A57" t="s">
        <v>201</v>
      </c>
      <c r="B57" s="4">
        <v>45295</v>
      </c>
      <c r="C57" s="6">
        <v>0.62083333333333335</v>
      </c>
      <c r="D57" t="s">
        <v>202</v>
      </c>
      <c r="E57" t="s">
        <v>23</v>
      </c>
      <c r="F57">
        <v>6</v>
      </c>
      <c r="G57" t="s">
        <v>35</v>
      </c>
      <c r="H57" t="s">
        <v>58</v>
      </c>
      <c r="I57" t="s">
        <v>26</v>
      </c>
      <c r="J57">
        <v>6</v>
      </c>
      <c r="K57">
        <v>42</v>
      </c>
      <c r="L57" t="s">
        <v>52</v>
      </c>
      <c r="M57" t="s">
        <v>32</v>
      </c>
    </row>
    <row r="58" spans="1:13" x14ac:dyDescent="0.3">
      <c r="A58" t="s">
        <v>203</v>
      </c>
      <c r="B58" s="4">
        <v>45296</v>
      </c>
      <c r="C58" s="6">
        <v>0.85833333333333328</v>
      </c>
      <c r="D58" t="s">
        <v>204</v>
      </c>
      <c r="E58" t="s">
        <v>39</v>
      </c>
      <c r="F58">
        <v>9</v>
      </c>
      <c r="G58" t="s">
        <v>45</v>
      </c>
      <c r="H58" t="s">
        <v>58</v>
      </c>
      <c r="I58" t="s">
        <v>41</v>
      </c>
      <c r="J58">
        <v>8</v>
      </c>
      <c r="K58">
        <v>30</v>
      </c>
      <c r="L58" t="s">
        <v>52</v>
      </c>
      <c r="M58" t="s">
        <v>28</v>
      </c>
    </row>
    <row r="59" spans="1:13" x14ac:dyDescent="0.3">
      <c r="A59" t="s">
        <v>205</v>
      </c>
      <c r="B59" s="4">
        <v>45296</v>
      </c>
      <c r="C59" s="6">
        <v>0.80138888888888893</v>
      </c>
      <c r="D59" t="s">
        <v>206</v>
      </c>
      <c r="E59" t="s">
        <v>23</v>
      </c>
      <c r="F59">
        <v>9</v>
      </c>
      <c r="G59" t="s">
        <v>40</v>
      </c>
      <c r="H59" t="s">
        <v>51</v>
      </c>
      <c r="I59" t="s">
        <v>26</v>
      </c>
      <c r="J59">
        <v>10</v>
      </c>
      <c r="K59">
        <v>28</v>
      </c>
      <c r="L59" t="s">
        <v>52</v>
      </c>
      <c r="M59" t="s">
        <v>28</v>
      </c>
    </row>
    <row r="60" spans="1:13" x14ac:dyDescent="0.3">
      <c r="A60" t="s">
        <v>207</v>
      </c>
      <c r="B60" s="4">
        <v>45322</v>
      </c>
      <c r="C60" s="6">
        <v>6.2500000000000003E-3</v>
      </c>
      <c r="D60" t="s">
        <v>208</v>
      </c>
      <c r="E60" t="s">
        <v>39</v>
      </c>
      <c r="F60">
        <v>5</v>
      </c>
      <c r="G60" t="s">
        <v>45</v>
      </c>
      <c r="H60" t="s">
        <v>51</v>
      </c>
      <c r="I60" t="s">
        <v>41</v>
      </c>
      <c r="J60">
        <v>1</v>
      </c>
      <c r="K60">
        <v>20</v>
      </c>
      <c r="L60" t="s">
        <v>52</v>
      </c>
      <c r="M60" t="s">
        <v>28</v>
      </c>
    </row>
    <row r="61" spans="1:13" x14ac:dyDescent="0.3">
      <c r="A61" t="s">
        <v>209</v>
      </c>
      <c r="B61" s="4">
        <v>45311</v>
      </c>
      <c r="C61" s="6">
        <v>0.59652777777777777</v>
      </c>
      <c r="D61" t="s">
        <v>210</v>
      </c>
      <c r="E61" t="s">
        <v>23</v>
      </c>
      <c r="F61">
        <v>5</v>
      </c>
      <c r="G61" t="s">
        <v>35</v>
      </c>
      <c r="H61" t="s">
        <v>51</v>
      </c>
      <c r="I61" t="s">
        <v>41</v>
      </c>
      <c r="J61">
        <v>2</v>
      </c>
      <c r="K61">
        <v>56</v>
      </c>
      <c r="L61" t="s">
        <v>52</v>
      </c>
      <c r="M61" t="s">
        <v>32</v>
      </c>
    </row>
    <row r="62" spans="1:13" x14ac:dyDescent="0.3">
      <c r="A62" t="s">
        <v>211</v>
      </c>
      <c r="B62" s="4">
        <v>45306</v>
      </c>
      <c r="C62" s="6">
        <v>0.1361111111111111</v>
      </c>
      <c r="D62" t="s">
        <v>212</v>
      </c>
      <c r="E62" t="s">
        <v>39</v>
      </c>
      <c r="F62">
        <v>7</v>
      </c>
      <c r="G62" t="s">
        <v>24</v>
      </c>
      <c r="H62" t="s">
        <v>51</v>
      </c>
      <c r="I62" t="s">
        <v>26</v>
      </c>
      <c r="J62">
        <v>5</v>
      </c>
      <c r="K62">
        <v>23</v>
      </c>
      <c r="L62" t="s">
        <v>52</v>
      </c>
      <c r="M62" t="s">
        <v>28</v>
      </c>
    </row>
    <row r="63" spans="1:13" x14ac:dyDescent="0.3">
      <c r="A63" t="s">
        <v>213</v>
      </c>
      <c r="B63" s="4">
        <v>45297</v>
      </c>
      <c r="C63" s="6">
        <v>0.41805555555555557</v>
      </c>
      <c r="D63" t="s">
        <v>214</v>
      </c>
      <c r="E63" t="s">
        <v>23</v>
      </c>
      <c r="F63">
        <v>8</v>
      </c>
      <c r="G63" t="s">
        <v>57</v>
      </c>
      <c r="H63" t="s">
        <v>25</v>
      </c>
      <c r="I63" t="s">
        <v>41</v>
      </c>
      <c r="J63">
        <v>6</v>
      </c>
      <c r="K63">
        <v>30</v>
      </c>
      <c r="L63" t="s">
        <v>52</v>
      </c>
      <c r="M63" t="s">
        <v>28</v>
      </c>
    </row>
    <row r="64" spans="1:13" x14ac:dyDescent="0.3">
      <c r="A64" t="s">
        <v>215</v>
      </c>
      <c r="B64" s="4">
        <v>45292</v>
      </c>
      <c r="C64" s="6">
        <v>0.9916666666666667</v>
      </c>
      <c r="D64" t="s">
        <v>216</v>
      </c>
      <c r="E64" t="s">
        <v>23</v>
      </c>
      <c r="F64">
        <v>5</v>
      </c>
      <c r="G64" t="s">
        <v>57</v>
      </c>
      <c r="H64" t="s">
        <v>25</v>
      </c>
      <c r="I64" t="s">
        <v>26</v>
      </c>
      <c r="J64">
        <v>3</v>
      </c>
      <c r="K64">
        <v>47</v>
      </c>
      <c r="L64" t="s">
        <v>52</v>
      </c>
      <c r="M64" t="s">
        <v>32</v>
      </c>
    </row>
    <row r="65" spans="1:13" x14ac:dyDescent="0.3">
      <c r="A65" t="s">
        <v>217</v>
      </c>
      <c r="B65" s="4">
        <v>45319</v>
      </c>
      <c r="C65" s="6">
        <v>0.52083333333333337</v>
      </c>
      <c r="D65" t="s">
        <v>218</v>
      </c>
      <c r="E65" t="s">
        <v>39</v>
      </c>
      <c r="F65">
        <v>6</v>
      </c>
      <c r="G65" t="s">
        <v>45</v>
      </c>
      <c r="H65" t="s">
        <v>25</v>
      </c>
      <c r="I65" t="s">
        <v>41</v>
      </c>
      <c r="J65">
        <v>3</v>
      </c>
      <c r="K65">
        <v>49</v>
      </c>
      <c r="L65" t="s">
        <v>52</v>
      </c>
      <c r="M65" t="s">
        <v>32</v>
      </c>
    </row>
    <row r="66" spans="1:13" x14ac:dyDescent="0.3">
      <c r="A66" t="s">
        <v>219</v>
      </c>
      <c r="B66" s="4">
        <v>45292</v>
      </c>
      <c r="C66" s="6">
        <v>0.37291666666666667</v>
      </c>
      <c r="D66" t="s">
        <v>220</v>
      </c>
      <c r="E66" t="s">
        <v>23</v>
      </c>
      <c r="F66">
        <v>5</v>
      </c>
      <c r="G66" t="s">
        <v>45</v>
      </c>
      <c r="H66" t="s">
        <v>25</v>
      </c>
      <c r="I66" t="s">
        <v>26</v>
      </c>
      <c r="J66">
        <v>5</v>
      </c>
      <c r="K66">
        <v>14</v>
      </c>
      <c r="L66" t="s">
        <v>52</v>
      </c>
      <c r="M66" t="s">
        <v>28</v>
      </c>
    </row>
    <row r="67" spans="1:13" x14ac:dyDescent="0.3">
      <c r="A67" t="s">
        <v>221</v>
      </c>
      <c r="B67" s="4">
        <v>45309</v>
      </c>
      <c r="C67" s="6">
        <v>0.54652777777777772</v>
      </c>
      <c r="D67" t="s">
        <v>222</v>
      </c>
      <c r="E67" t="s">
        <v>23</v>
      </c>
      <c r="F67">
        <v>10</v>
      </c>
      <c r="G67" t="s">
        <v>45</v>
      </c>
      <c r="H67" t="s">
        <v>25</v>
      </c>
      <c r="I67" t="s">
        <v>26</v>
      </c>
      <c r="J67">
        <v>6</v>
      </c>
      <c r="K67">
        <v>18</v>
      </c>
      <c r="L67" t="s">
        <v>52</v>
      </c>
      <c r="M67" t="s">
        <v>28</v>
      </c>
    </row>
    <row r="68" spans="1:13" x14ac:dyDescent="0.3">
      <c r="A68" t="s">
        <v>223</v>
      </c>
      <c r="B68" s="4">
        <v>45322</v>
      </c>
      <c r="C68" s="6">
        <v>0.62361111111111112</v>
      </c>
      <c r="D68" t="s">
        <v>224</v>
      </c>
      <c r="E68" t="s">
        <v>39</v>
      </c>
      <c r="F68">
        <v>4</v>
      </c>
      <c r="G68" t="s">
        <v>45</v>
      </c>
      <c r="H68" t="s">
        <v>25</v>
      </c>
      <c r="I68" t="s">
        <v>26</v>
      </c>
      <c r="J68">
        <v>1</v>
      </c>
      <c r="K68">
        <v>12</v>
      </c>
      <c r="L68" t="s">
        <v>52</v>
      </c>
      <c r="M68" t="s">
        <v>28</v>
      </c>
    </row>
    <row r="69" spans="1:13" x14ac:dyDescent="0.3">
      <c r="A69" t="s">
        <v>225</v>
      </c>
      <c r="B69" s="4">
        <v>45303</v>
      </c>
      <c r="C69" s="6">
        <v>0.90416666666666667</v>
      </c>
      <c r="D69" t="s">
        <v>226</v>
      </c>
      <c r="E69" t="s">
        <v>39</v>
      </c>
      <c r="F69">
        <v>1</v>
      </c>
      <c r="G69" t="s">
        <v>75</v>
      </c>
      <c r="H69" t="s">
        <v>25</v>
      </c>
      <c r="I69" t="s">
        <v>41</v>
      </c>
      <c r="J69">
        <v>7</v>
      </c>
      <c r="K69">
        <v>24</v>
      </c>
      <c r="L69" t="s">
        <v>52</v>
      </c>
      <c r="M69" t="s">
        <v>28</v>
      </c>
    </row>
    <row r="70" spans="1:13" x14ac:dyDescent="0.3">
      <c r="A70" t="s">
        <v>227</v>
      </c>
      <c r="B70" s="4">
        <v>45306</v>
      </c>
      <c r="C70" s="6">
        <v>0.30625000000000002</v>
      </c>
      <c r="D70" t="s">
        <v>228</v>
      </c>
      <c r="E70" t="s">
        <v>39</v>
      </c>
      <c r="F70">
        <v>6</v>
      </c>
      <c r="G70" t="s">
        <v>75</v>
      </c>
      <c r="H70" t="s">
        <v>25</v>
      </c>
      <c r="I70" t="s">
        <v>26</v>
      </c>
      <c r="J70">
        <v>7</v>
      </c>
      <c r="K70">
        <v>24</v>
      </c>
      <c r="L70" t="s">
        <v>52</v>
      </c>
      <c r="M70" t="s">
        <v>28</v>
      </c>
    </row>
    <row r="71" spans="1:13" x14ac:dyDescent="0.3">
      <c r="A71" t="s">
        <v>229</v>
      </c>
      <c r="B71" s="4">
        <v>45300</v>
      </c>
      <c r="C71" s="6">
        <v>0.5805555555555556</v>
      </c>
      <c r="D71" t="s">
        <v>230</v>
      </c>
      <c r="E71" t="s">
        <v>23</v>
      </c>
      <c r="F71">
        <v>1</v>
      </c>
      <c r="G71" t="s">
        <v>40</v>
      </c>
      <c r="H71" t="s">
        <v>25</v>
      </c>
      <c r="I71" t="s">
        <v>41</v>
      </c>
      <c r="J71">
        <v>0</v>
      </c>
      <c r="K71">
        <v>19</v>
      </c>
      <c r="L71" t="s">
        <v>52</v>
      </c>
      <c r="M71" t="s">
        <v>28</v>
      </c>
    </row>
    <row r="72" spans="1:13" x14ac:dyDescent="0.3">
      <c r="A72" t="s">
        <v>231</v>
      </c>
      <c r="B72" s="4">
        <v>45307</v>
      </c>
      <c r="C72" s="6">
        <v>0.49166666666666664</v>
      </c>
      <c r="D72" t="s">
        <v>232</v>
      </c>
      <c r="E72" t="s">
        <v>23</v>
      </c>
      <c r="F72">
        <v>6</v>
      </c>
      <c r="G72" t="s">
        <v>40</v>
      </c>
      <c r="H72" t="s">
        <v>25</v>
      </c>
      <c r="I72" t="s">
        <v>26</v>
      </c>
      <c r="J72">
        <v>1</v>
      </c>
      <c r="K72">
        <v>58</v>
      </c>
      <c r="L72" t="s">
        <v>52</v>
      </c>
      <c r="M72" t="s">
        <v>32</v>
      </c>
    </row>
    <row r="73" spans="1:13" x14ac:dyDescent="0.3">
      <c r="A73" t="s">
        <v>233</v>
      </c>
      <c r="B73" s="4">
        <v>45299</v>
      </c>
      <c r="C73" s="6">
        <v>0.71597222222222223</v>
      </c>
      <c r="D73" t="s">
        <v>234</v>
      </c>
      <c r="E73" t="s">
        <v>23</v>
      </c>
      <c r="F73">
        <v>2</v>
      </c>
      <c r="G73" t="s">
        <v>40</v>
      </c>
      <c r="H73" t="s">
        <v>25</v>
      </c>
      <c r="I73" t="s">
        <v>26</v>
      </c>
      <c r="J73">
        <v>8</v>
      </c>
      <c r="K73">
        <v>54</v>
      </c>
      <c r="L73" t="s">
        <v>52</v>
      </c>
      <c r="M73" t="s">
        <v>32</v>
      </c>
    </row>
    <row r="74" spans="1:13" x14ac:dyDescent="0.3">
      <c r="A74" t="s">
        <v>235</v>
      </c>
      <c r="B74" s="4">
        <v>45320</v>
      </c>
      <c r="C74" s="6">
        <v>0.47499999999999998</v>
      </c>
      <c r="D74" t="s">
        <v>236</v>
      </c>
      <c r="E74" t="s">
        <v>23</v>
      </c>
      <c r="F74">
        <v>6</v>
      </c>
      <c r="G74" t="s">
        <v>35</v>
      </c>
      <c r="H74" t="s">
        <v>25</v>
      </c>
      <c r="I74" t="s">
        <v>26</v>
      </c>
      <c r="J74">
        <v>9</v>
      </c>
      <c r="K74">
        <v>23</v>
      </c>
      <c r="L74" t="s">
        <v>52</v>
      </c>
      <c r="M74" t="s">
        <v>28</v>
      </c>
    </row>
    <row r="75" spans="1:13" x14ac:dyDescent="0.3">
      <c r="A75" t="s">
        <v>237</v>
      </c>
      <c r="B75" s="4">
        <v>45307</v>
      </c>
      <c r="C75" s="6">
        <v>0.7631944444444444</v>
      </c>
      <c r="D75" t="s">
        <v>238</v>
      </c>
      <c r="E75" t="s">
        <v>39</v>
      </c>
      <c r="F75">
        <v>7</v>
      </c>
      <c r="G75" t="s">
        <v>35</v>
      </c>
      <c r="H75" t="s">
        <v>25</v>
      </c>
      <c r="I75" t="s">
        <v>41</v>
      </c>
      <c r="J75">
        <v>10</v>
      </c>
      <c r="K75">
        <v>14</v>
      </c>
      <c r="L75" t="s">
        <v>52</v>
      </c>
      <c r="M75" t="s">
        <v>28</v>
      </c>
    </row>
    <row r="76" spans="1:13" x14ac:dyDescent="0.3">
      <c r="A76" t="s">
        <v>239</v>
      </c>
      <c r="B76" s="4">
        <v>45304</v>
      </c>
      <c r="C76" s="6">
        <v>0.1</v>
      </c>
      <c r="D76" t="s">
        <v>240</v>
      </c>
      <c r="E76" t="s">
        <v>39</v>
      </c>
      <c r="F76">
        <v>8</v>
      </c>
      <c r="G76" t="s">
        <v>35</v>
      </c>
      <c r="H76" t="s">
        <v>25</v>
      </c>
      <c r="I76" t="s">
        <v>26</v>
      </c>
      <c r="J76">
        <v>1</v>
      </c>
      <c r="K76">
        <v>57</v>
      </c>
      <c r="L76" t="s">
        <v>52</v>
      </c>
      <c r="M76" t="s">
        <v>32</v>
      </c>
    </row>
    <row r="77" spans="1:13" x14ac:dyDescent="0.3">
      <c r="A77" t="s">
        <v>241</v>
      </c>
      <c r="B77" s="4">
        <v>45321</v>
      </c>
      <c r="C77" s="6">
        <v>0.70347222222222228</v>
      </c>
      <c r="D77" t="s">
        <v>242</v>
      </c>
      <c r="E77" t="s">
        <v>39</v>
      </c>
      <c r="F77">
        <v>7</v>
      </c>
      <c r="G77" t="s">
        <v>24</v>
      </c>
      <c r="H77" t="s">
        <v>25</v>
      </c>
      <c r="I77" t="s">
        <v>26</v>
      </c>
      <c r="J77">
        <v>4</v>
      </c>
      <c r="K77">
        <v>46</v>
      </c>
      <c r="L77" t="s">
        <v>52</v>
      </c>
      <c r="M77" t="s">
        <v>32</v>
      </c>
    </row>
    <row r="78" spans="1:13" x14ac:dyDescent="0.3">
      <c r="A78" t="s">
        <v>243</v>
      </c>
      <c r="B78" s="4">
        <v>45322</v>
      </c>
      <c r="C78" s="6">
        <v>0.39861111111111114</v>
      </c>
      <c r="D78" t="s">
        <v>244</v>
      </c>
      <c r="E78" t="s">
        <v>39</v>
      </c>
      <c r="F78">
        <v>2</v>
      </c>
      <c r="G78" t="s">
        <v>24</v>
      </c>
      <c r="H78" t="s">
        <v>25</v>
      </c>
      <c r="I78" t="s">
        <v>41</v>
      </c>
      <c r="J78">
        <v>4</v>
      </c>
      <c r="K78">
        <v>41</v>
      </c>
      <c r="L78" t="s">
        <v>52</v>
      </c>
      <c r="M78" t="s">
        <v>32</v>
      </c>
    </row>
    <row r="79" spans="1:13" x14ac:dyDescent="0.3">
      <c r="A79" t="s">
        <v>245</v>
      </c>
      <c r="B79" s="4">
        <v>45303</v>
      </c>
      <c r="C79" s="6">
        <v>0.7631944444444444</v>
      </c>
      <c r="D79" t="s">
        <v>246</v>
      </c>
      <c r="E79" t="s">
        <v>39</v>
      </c>
      <c r="F79">
        <v>8</v>
      </c>
      <c r="G79" t="s">
        <v>24</v>
      </c>
      <c r="H79" t="s">
        <v>25</v>
      </c>
      <c r="I79" t="s">
        <v>41</v>
      </c>
      <c r="J79">
        <v>10</v>
      </c>
      <c r="K79">
        <v>49</v>
      </c>
      <c r="L79" t="s">
        <v>52</v>
      </c>
      <c r="M79" t="s">
        <v>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9C565-0F79-4439-93A7-D931D5915667}">
  <dimension ref="A1:M319"/>
  <sheetViews>
    <sheetView tabSelected="1" topLeftCell="A2" workbookViewId="0"/>
  </sheetViews>
  <sheetFormatPr defaultRowHeight="14.4" x14ac:dyDescent="0.3"/>
  <cols>
    <col min="1" max="13" width="36.5546875" bestFit="1" customWidth="1"/>
  </cols>
  <sheetData>
    <row r="1" spans="1:13" x14ac:dyDescent="0.3">
      <c r="A1" s="7" t="s">
        <v>791</v>
      </c>
    </row>
    <row r="3" spans="1:13" x14ac:dyDescent="0.3">
      <c r="A3" t="s">
        <v>8</v>
      </c>
      <c r="B3" t="s">
        <v>9</v>
      </c>
      <c r="C3" t="s">
        <v>10</v>
      </c>
      <c r="D3" t="s">
        <v>11</v>
      </c>
      <c r="E3" t="s">
        <v>12</v>
      </c>
      <c r="F3" t="s">
        <v>13</v>
      </c>
      <c r="G3" t="s">
        <v>14</v>
      </c>
      <c r="H3" t="s">
        <v>15</v>
      </c>
      <c r="I3" t="s">
        <v>16</v>
      </c>
      <c r="J3" t="s">
        <v>17</v>
      </c>
      <c r="K3" t="s">
        <v>18</v>
      </c>
      <c r="L3" t="s">
        <v>19</v>
      </c>
      <c r="M3" t="s">
        <v>20</v>
      </c>
    </row>
    <row r="4" spans="1:13" x14ac:dyDescent="0.3">
      <c r="A4" t="s">
        <v>93</v>
      </c>
      <c r="B4" s="4">
        <v>45298</v>
      </c>
      <c r="C4" s="6">
        <v>0.2048611111111111</v>
      </c>
      <c r="D4" t="s">
        <v>94</v>
      </c>
      <c r="E4" t="s">
        <v>39</v>
      </c>
      <c r="F4">
        <v>10</v>
      </c>
      <c r="G4" t="s">
        <v>24</v>
      </c>
      <c r="H4" t="s">
        <v>25</v>
      </c>
      <c r="I4" t="s">
        <v>26</v>
      </c>
      <c r="K4">
        <v>39</v>
      </c>
      <c r="L4" t="s">
        <v>52</v>
      </c>
      <c r="M4" t="s">
        <v>32</v>
      </c>
    </row>
    <row r="5" spans="1:13" x14ac:dyDescent="0.3">
      <c r="A5" t="s">
        <v>248</v>
      </c>
      <c r="B5" s="4">
        <v>45322</v>
      </c>
      <c r="C5" s="6">
        <v>0.41458333333333336</v>
      </c>
      <c r="D5" t="s">
        <v>249</v>
      </c>
      <c r="E5" t="s">
        <v>39</v>
      </c>
      <c r="F5">
        <v>41</v>
      </c>
      <c r="G5" t="s">
        <v>24</v>
      </c>
      <c r="H5" t="s">
        <v>25</v>
      </c>
      <c r="I5" t="s">
        <v>26</v>
      </c>
      <c r="K5">
        <v>58</v>
      </c>
      <c r="L5" t="s">
        <v>27</v>
      </c>
      <c r="M5" t="s">
        <v>32</v>
      </c>
    </row>
    <row r="6" spans="1:13" x14ac:dyDescent="0.3">
      <c r="A6" t="s">
        <v>250</v>
      </c>
      <c r="B6" s="4">
        <v>45300</v>
      </c>
      <c r="C6" s="6">
        <v>0.13819444444444445</v>
      </c>
      <c r="D6" t="s">
        <v>251</v>
      </c>
      <c r="E6" t="s">
        <v>39</v>
      </c>
      <c r="F6">
        <v>18</v>
      </c>
      <c r="G6" t="s">
        <v>24</v>
      </c>
      <c r="H6" t="s">
        <v>25</v>
      </c>
      <c r="I6" t="s">
        <v>26</v>
      </c>
      <c r="K6">
        <v>60</v>
      </c>
      <c r="L6" t="s">
        <v>42</v>
      </c>
      <c r="M6" t="s">
        <v>32</v>
      </c>
    </row>
    <row r="7" spans="1:13" x14ac:dyDescent="0.3">
      <c r="A7" t="s">
        <v>252</v>
      </c>
      <c r="B7" s="4">
        <v>45305</v>
      </c>
      <c r="C7" s="6">
        <v>0.1701388888888889</v>
      </c>
      <c r="D7" t="s">
        <v>253</v>
      </c>
      <c r="E7" t="s">
        <v>39</v>
      </c>
      <c r="F7">
        <v>48</v>
      </c>
      <c r="G7" t="s">
        <v>24</v>
      </c>
      <c r="H7" t="s">
        <v>25</v>
      </c>
      <c r="I7" t="s">
        <v>26</v>
      </c>
      <c r="K7">
        <v>33</v>
      </c>
      <c r="L7" t="s">
        <v>27</v>
      </c>
      <c r="M7" t="s">
        <v>32</v>
      </c>
    </row>
    <row r="8" spans="1:13" x14ac:dyDescent="0.3">
      <c r="A8" t="s">
        <v>254</v>
      </c>
      <c r="B8" s="4">
        <v>45294</v>
      </c>
      <c r="C8" s="6">
        <v>0.51388888888888884</v>
      </c>
      <c r="D8" t="s">
        <v>255</v>
      </c>
      <c r="E8" t="s">
        <v>39</v>
      </c>
      <c r="F8">
        <v>16</v>
      </c>
      <c r="G8" t="s">
        <v>24</v>
      </c>
      <c r="H8" t="s">
        <v>25</v>
      </c>
      <c r="I8" t="s">
        <v>26</v>
      </c>
      <c r="K8">
        <v>34</v>
      </c>
      <c r="L8" t="s">
        <v>42</v>
      </c>
      <c r="M8" t="s">
        <v>32</v>
      </c>
    </row>
    <row r="9" spans="1:13" x14ac:dyDescent="0.3">
      <c r="A9" t="s">
        <v>256</v>
      </c>
      <c r="B9" s="4">
        <v>45299</v>
      </c>
      <c r="C9" s="6">
        <v>0.86041666666666672</v>
      </c>
      <c r="D9" t="s">
        <v>257</v>
      </c>
      <c r="E9" t="s">
        <v>39</v>
      </c>
      <c r="F9">
        <v>30</v>
      </c>
      <c r="G9" t="s">
        <v>24</v>
      </c>
      <c r="H9" t="s">
        <v>25</v>
      </c>
      <c r="I9" t="s">
        <v>26</v>
      </c>
      <c r="K9">
        <v>39</v>
      </c>
      <c r="L9" t="s">
        <v>46</v>
      </c>
      <c r="M9" t="s">
        <v>32</v>
      </c>
    </row>
    <row r="10" spans="1:13" x14ac:dyDescent="0.3">
      <c r="A10" t="s">
        <v>258</v>
      </c>
      <c r="B10" s="4">
        <v>45294</v>
      </c>
      <c r="C10" s="6">
        <v>0.5805555555555556</v>
      </c>
      <c r="D10" t="s">
        <v>259</v>
      </c>
      <c r="E10" t="s">
        <v>39</v>
      </c>
      <c r="F10">
        <v>62</v>
      </c>
      <c r="G10" t="s">
        <v>24</v>
      </c>
      <c r="H10" t="s">
        <v>25</v>
      </c>
      <c r="I10" t="s">
        <v>26</v>
      </c>
      <c r="K10">
        <v>57</v>
      </c>
      <c r="L10" t="s">
        <v>36</v>
      </c>
      <c r="M10" t="s">
        <v>32</v>
      </c>
    </row>
    <row r="11" spans="1:13" x14ac:dyDescent="0.3">
      <c r="A11" t="s">
        <v>95</v>
      </c>
      <c r="B11" s="4">
        <v>45304</v>
      </c>
      <c r="C11" s="6">
        <v>0.31805555555555554</v>
      </c>
      <c r="D11" t="s">
        <v>96</v>
      </c>
      <c r="E11" t="s">
        <v>39</v>
      </c>
      <c r="F11">
        <v>4</v>
      </c>
      <c r="G11" t="s">
        <v>24</v>
      </c>
      <c r="H11" t="s">
        <v>25</v>
      </c>
      <c r="I11" t="s">
        <v>26</v>
      </c>
      <c r="K11">
        <v>41</v>
      </c>
      <c r="L11" t="s">
        <v>52</v>
      </c>
      <c r="M11" t="s">
        <v>32</v>
      </c>
    </row>
    <row r="12" spans="1:13" x14ac:dyDescent="0.3">
      <c r="A12" t="s">
        <v>260</v>
      </c>
      <c r="B12" s="4">
        <v>45317</v>
      </c>
      <c r="C12" s="6">
        <v>0.73611111111111116</v>
      </c>
      <c r="D12" t="s">
        <v>261</v>
      </c>
      <c r="E12" t="s">
        <v>39</v>
      </c>
      <c r="F12">
        <v>39</v>
      </c>
      <c r="G12" t="s">
        <v>24</v>
      </c>
      <c r="H12" t="s">
        <v>25</v>
      </c>
      <c r="I12" t="s">
        <v>26</v>
      </c>
      <c r="K12">
        <v>60</v>
      </c>
      <c r="L12" t="s">
        <v>31</v>
      </c>
      <c r="M12" t="s">
        <v>32</v>
      </c>
    </row>
    <row r="13" spans="1:13" x14ac:dyDescent="0.3">
      <c r="A13" t="s">
        <v>262</v>
      </c>
      <c r="B13" s="4">
        <v>45293</v>
      </c>
      <c r="C13" s="6">
        <v>0.87777777777777777</v>
      </c>
      <c r="D13" t="s">
        <v>263</v>
      </c>
      <c r="E13" t="s">
        <v>39</v>
      </c>
      <c r="F13">
        <v>56</v>
      </c>
      <c r="G13" t="s">
        <v>24</v>
      </c>
      <c r="H13" t="s">
        <v>25</v>
      </c>
      <c r="I13" t="s">
        <v>26</v>
      </c>
      <c r="K13">
        <v>39</v>
      </c>
      <c r="L13" t="s">
        <v>59</v>
      </c>
      <c r="M13" t="s">
        <v>32</v>
      </c>
    </row>
    <row r="14" spans="1:13" x14ac:dyDescent="0.3">
      <c r="A14" t="s">
        <v>97</v>
      </c>
      <c r="B14" s="4">
        <v>45293</v>
      </c>
      <c r="C14" s="6">
        <v>0.12847222222222221</v>
      </c>
      <c r="D14" t="s">
        <v>98</v>
      </c>
      <c r="E14" t="s">
        <v>39</v>
      </c>
      <c r="F14">
        <v>2</v>
      </c>
      <c r="G14" t="s">
        <v>24</v>
      </c>
      <c r="H14" t="s">
        <v>25</v>
      </c>
      <c r="I14" t="s">
        <v>26</v>
      </c>
      <c r="K14">
        <v>58</v>
      </c>
      <c r="L14" t="s">
        <v>52</v>
      </c>
      <c r="M14" t="s">
        <v>32</v>
      </c>
    </row>
    <row r="15" spans="1:13" x14ac:dyDescent="0.3">
      <c r="A15" t="s">
        <v>264</v>
      </c>
      <c r="B15" s="4">
        <v>45321</v>
      </c>
      <c r="C15" s="6">
        <v>0.55138888888888893</v>
      </c>
      <c r="D15" t="s">
        <v>265</v>
      </c>
      <c r="E15" t="s">
        <v>39</v>
      </c>
      <c r="F15">
        <v>71</v>
      </c>
      <c r="G15" t="s">
        <v>24</v>
      </c>
      <c r="H15" t="s">
        <v>25</v>
      </c>
      <c r="I15" t="s">
        <v>26</v>
      </c>
      <c r="K15">
        <v>47</v>
      </c>
      <c r="L15" t="s">
        <v>82</v>
      </c>
      <c r="M15" t="s">
        <v>32</v>
      </c>
    </row>
    <row r="16" spans="1:13" x14ac:dyDescent="0.3">
      <c r="A16" t="s">
        <v>266</v>
      </c>
      <c r="B16" s="4">
        <v>45298</v>
      </c>
      <c r="C16" s="6">
        <v>0.60138888888888886</v>
      </c>
      <c r="D16" t="s">
        <v>267</v>
      </c>
      <c r="E16" t="s">
        <v>39</v>
      </c>
      <c r="F16">
        <v>14</v>
      </c>
      <c r="G16" t="s">
        <v>24</v>
      </c>
      <c r="H16" t="s">
        <v>25</v>
      </c>
      <c r="I16" t="s">
        <v>26</v>
      </c>
      <c r="K16">
        <v>34</v>
      </c>
      <c r="L16" t="s">
        <v>42</v>
      </c>
      <c r="M16" t="s">
        <v>32</v>
      </c>
    </row>
    <row r="17" spans="1:13" x14ac:dyDescent="0.3">
      <c r="A17" t="s">
        <v>268</v>
      </c>
      <c r="B17" s="4">
        <v>45319</v>
      </c>
      <c r="C17" s="6">
        <v>0.59166666666666667</v>
      </c>
      <c r="D17" t="s">
        <v>269</v>
      </c>
      <c r="E17" t="s">
        <v>39</v>
      </c>
      <c r="F17">
        <v>35</v>
      </c>
      <c r="G17" t="s">
        <v>24</v>
      </c>
      <c r="H17" t="s">
        <v>25</v>
      </c>
      <c r="I17" t="s">
        <v>26</v>
      </c>
      <c r="K17">
        <v>38</v>
      </c>
      <c r="L17" t="s">
        <v>31</v>
      </c>
      <c r="M17" t="s">
        <v>32</v>
      </c>
    </row>
    <row r="18" spans="1:13" x14ac:dyDescent="0.3">
      <c r="A18" t="s">
        <v>99</v>
      </c>
      <c r="B18" s="4">
        <v>45295</v>
      </c>
      <c r="C18" s="6">
        <v>0.68194444444444446</v>
      </c>
      <c r="D18" t="s">
        <v>100</v>
      </c>
      <c r="E18" t="s">
        <v>39</v>
      </c>
      <c r="F18">
        <v>5</v>
      </c>
      <c r="G18" t="s">
        <v>24</v>
      </c>
      <c r="H18" t="s">
        <v>25</v>
      </c>
      <c r="I18" t="s">
        <v>26</v>
      </c>
      <c r="K18">
        <v>48</v>
      </c>
      <c r="L18" t="s">
        <v>52</v>
      </c>
      <c r="M18" t="s">
        <v>32</v>
      </c>
    </row>
    <row r="19" spans="1:13" x14ac:dyDescent="0.3">
      <c r="A19" t="s">
        <v>270</v>
      </c>
      <c r="B19" s="4">
        <v>45320</v>
      </c>
      <c r="C19" s="6">
        <v>3.1944444444444442E-2</v>
      </c>
      <c r="D19" t="s">
        <v>271</v>
      </c>
      <c r="E19" t="s">
        <v>39</v>
      </c>
      <c r="F19">
        <v>52</v>
      </c>
      <c r="G19" t="s">
        <v>24</v>
      </c>
      <c r="H19" t="s">
        <v>25</v>
      </c>
      <c r="I19" t="s">
        <v>26</v>
      </c>
      <c r="K19">
        <v>48</v>
      </c>
      <c r="L19" t="s">
        <v>59</v>
      </c>
      <c r="M19" t="s">
        <v>32</v>
      </c>
    </row>
    <row r="20" spans="1:13" x14ac:dyDescent="0.3">
      <c r="A20" t="s">
        <v>272</v>
      </c>
      <c r="B20" s="4">
        <v>45304</v>
      </c>
      <c r="C20" s="6">
        <v>0.79513888888888884</v>
      </c>
      <c r="D20" t="s">
        <v>273</v>
      </c>
      <c r="E20" t="s">
        <v>23</v>
      </c>
      <c r="F20">
        <v>72</v>
      </c>
      <c r="G20" t="s">
        <v>24</v>
      </c>
      <c r="H20" t="s">
        <v>25</v>
      </c>
      <c r="I20" t="s">
        <v>26</v>
      </c>
      <c r="K20">
        <v>33</v>
      </c>
      <c r="L20" t="s">
        <v>82</v>
      </c>
      <c r="M20" t="s">
        <v>32</v>
      </c>
    </row>
    <row r="21" spans="1:13" x14ac:dyDescent="0.3">
      <c r="A21" t="s">
        <v>274</v>
      </c>
      <c r="B21" s="4">
        <v>45308</v>
      </c>
      <c r="C21" s="6">
        <v>0.85624999999999996</v>
      </c>
      <c r="D21" t="s">
        <v>275</v>
      </c>
      <c r="E21" t="s">
        <v>23</v>
      </c>
      <c r="F21">
        <v>49</v>
      </c>
      <c r="G21" t="s">
        <v>24</v>
      </c>
      <c r="H21" t="s">
        <v>25</v>
      </c>
      <c r="I21" t="s">
        <v>26</v>
      </c>
      <c r="K21">
        <v>38</v>
      </c>
      <c r="L21" t="s">
        <v>27</v>
      </c>
      <c r="M21" t="s">
        <v>32</v>
      </c>
    </row>
    <row r="22" spans="1:13" x14ac:dyDescent="0.3">
      <c r="A22" t="s">
        <v>276</v>
      </c>
      <c r="B22" s="4">
        <v>45310</v>
      </c>
      <c r="C22" s="6">
        <v>0.35138888888888886</v>
      </c>
      <c r="D22" t="s">
        <v>277</v>
      </c>
      <c r="E22" t="s">
        <v>23</v>
      </c>
      <c r="F22">
        <v>11</v>
      </c>
      <c r="G22" t="s">
        <v>24</v>
      </c>
      <c r="H22" t="s">
        <v>25</v>
      </c>
      <c r="I22" t="s">
        <v>26</v>
      </c>
      <c r="K22">
        <v>56</v>
      </c>
      <c r="L22" t="s">
        <v>42</v>
      </c>
      <c r="M22" t="s">
        <v>32</v>
      </c>
    </row>
    <row r="23" spans="1:13" x14ac:dyDescent="0.3">
      <c r="A23" t="s">
        <v>278</v>
      </c>
      <c r="B23" s="4">
        <v>45299</v>
      </c>
      <c r="C23" s="6">
        <v>0.7</v>
      </c>
      <c r="D23" t="s">
        <v>279</v>
      </c>
      <c r="E23" t="s">
        <v>23</v>
      </c>
      <c r="F23">
        <v>64</v>
      </c>
      <c r="G23" t="s">
        <v>24</v>
      </c>
      <c r="H23" t="s">
        <v>25</v>
      </c>
      <c r="I23" t="s">
        <v>26</v>
      </c>
      <c r="K23">
        <v>41</v>
      </c>
      <c r="L23" t="s">
        <v>36</v>
      </c>
      <c r="M23" t="s">
        <v>32</v>
      </c>
    </row>
    <row r="24" spans="1:13" x14ac:dyDescent="0.3">
      <c r="A24" t="s">
        <v>280</v>
      </c>
      <c r="B24" s="4">
        <v>45300</v>
      </c>
      <c r="C24" s="6">
        <v>0.91249999999999998</v>
      </c>
      <c r="D24" t="s">
        <v>281</v>
      </c>
      <c r="E24" t="s">
        <v>23</v>
      </c>
      <c r="F24">
        <v>60</v>
      </c>
      <c r="G24" t="s">
        <v>24</v>
      </c>
      <c r="H24" t="s">
        <v>25</v>
      </c>
      <c r="I24" t="s">
        <v>26</v>
      </c>
      <c r="K24">
        <v>60</v>
      </c>
      <c r="L24" t="s">
        <v>59</v>
      </c>
      <c r="M24" t="s">
        <v>32</v>
      </c>
    </row>
    <row r="25" spans="1:13" x14ac:dyDescent="0.3">
      <c r="A25" t="s">
        <v>282</v>
      </c>
      <c r="B25" s="4">
        <v>45316</v>
      </c>
      <c r="C25" s="6">
        <v>0.38333333333333336</v>
      </c>
      <c r="D25" t="s">
        <v>283</v>
      </c>
      <c r="E25" t="s">
        <v>23</v>
      </c>
      <c r="F25">
        <v>69</v>
      </c>
      <c r="G25" t="s">
        <v>24</v>
      </c>
      <c r="H25" t="s">
        <v>25</v>
      </c>
      <c r="I25" t="s">
        <v>26</v>
      </c>
      <c r="K25">
        <v>34</v>
      </c>
      <c r="L25" t="s">
        <v>36</v>
      </c>
      <c r="M25" t="s">
        <v>32</v>
      </c>
    </row>
    <row r="26" spans="1:13" x14ac:dyDescent="0.3">
      <c r="A26" t="s">
        <v>284</v>
      </c>
      <c r="B26" s="4">
        <v>45322</v>
      </c>
      <c r="C26" s="6">
        <v>0.24166666666666667</v>
      </c>
      <c r="D26" t="s">
        <v>285</v>
      </c>
      <c r="E26" t="s">
        <v>23</v>
      </c>
      <c r="F26">
        <v>27</v>
      </c>
      <c r="G26" t="s">
        <v>24</v>
      </c>
      <c r="H26" t="s">
        <v>25</v>
      </c>
      <c r="I26" t="s">
        <v>26</v>
      </c>
      <c r="K26">
        <v>58</v>
      </c>
      <c r="L26" t="s">
        <v>46</v>
      </c>
      <c r="M26" t="s">
        <v>32</v>
      </c>
    </row>
    <row r="27" spans="1:13" x14ac:dyDescent="0.3">
      <c r="A27" t="s">
        <v>286</v>
      </c>
      <c r="B27" s="4">
        <v>45313</v>
      </c>
      <c r="C27" s="6">
        <v>0.68958333333333333</v>
      </c>
      <c r="D27" t="s">
        <v>287</v>
      </c>
      <c r="E27" t="s">
        <v>23</v>
      </c>
      <c r="F27">
        <v>69</v>
      </c>
      <c r="G27" t="s">
        <v>24</v>
      </c>
      <c r="H27" t="s">
        <v>25</v>
      </c>
      <c r="I27" t="s">
        <v>26</v>
      </c>
      <c r="K27">
        <v>52</v>
      </c>
      <c r="L27" t="s">
        <v>36</v>
      </c>
      <c r="M27" t="s">
        <v>32</v>
      </c>
    </row>
    <row r="28" spans="1:13" x14ac:dyDescent="0.3">
      <c r="A28" t="s">
        <v>288</v>
      </c>
      <c r="B28" s="4">
        <v>45302</v>
      </c>
      <c r="C28" s="6">
        <v>0.75069444444444444</v>
      </c>
      <c r="D28" t="s">
        <v>289</v>
      </c>
      <c r="E28" t="s">
        <v>23</v>
      </c>
      <c r="F28">
        <v>12</v>
      </c>
      <c r="G28" t="s">
        <v>24</v>
      </c>
      <c r="H28" t="s">
        <v>25</v>
      </c>
      <c r="I28" t="s">
        <v>26</v>
      </c>
      <c r="K28">
        <v>53</v>
      </c>
      <c r="L28" t="s">
        <v>42</v>
      </c>
      <c r="M28" t="s">
        <v>32</v>
      </c>
    </row>
    <row r="29" spans="1:13" x14ac:dyDescent="0.3">
      <c r="A29" t="s">
        <v>290</v>
      </c>
      <c r="B29" s="4">
        <v>45309</v>
      </c>
      <c r="C29" s="6">
        <v>0.44513888888888886</v>
      </c>
      <c r="D29" t="s">
        <v>291</v>
      </c>
      <c r="E29" t="s">
        <v>23</v>
      </c>
      <c r="F29">
        <v>17</v>
      </c>
      <c r="G29" t="s">
        <v>24</v>
      </c>
      <c r="H29" t="s">
        <v>25</v>
      </c>
      <c r="I29" t="s">
        <v>41</v>
      </c>
      <c r="K29">
        <v>57</v>
      </c>
      <c r="L29" t="s">
        <v>42</v>
      </c>
      <c r="M29" t="s">
        <v>32</v>
      </c>
    </row>
    <row r="30" spans="1:13" x14ac:dyDescent="0.3">
      <c r="A30" t="s">
        <v>292</v>
      </c>
      <c r="B30" s="4">
        <v>45322</v>
      </c>
      <c r="C30" s="6">
        <v>0.16458333333333333</v>
      </c>
      <c r="D30" t="s">
        <v>293</v>
      </c>
      <c r="E30" t="s">
        <v>23</v>
      </c>
      <c r="F30">
        <v>57</v>
      </c>
      <c r="G30" t="s">
        <v>24</v>
      </c>
      <c r="H30" t="s">
        <v>25</v>
      </c>
      <c r="I30" t="s">
        <v>41</v>
      </c>
      <c r="K30">
        <v>38</v>
      </c>
      <c r="L30" t="s">
        <v>59</v>
      </c>
      <c r="M30" t="s">
        <v>32</v>
      </c>
    </row>
    <row r="31" spans="1:13" x14ac:dyDescent="0.3">
      <c r="A31" t="s">
        <v>294</v>
      </c>
      <c r="B31" s="4">
        <v>45306</v>
      </c>
      <c r="C31" s="6">
        <v>0.89097222222222228</v>
      </c>
      <c r="D31" t="s">
        <v>295</v>
      </c>
      <c r="E31" t="s">
        <v>23</v>
      </c>
      <c r="F31">
        <v>76</v>
      </c>
      <c r="G31" t="s">
        <v>24</v>
      </c>
      <c r="H31" t="s">
        <v>25</v>
      </c>
      <c r="I31" t="s">
        <v>41</v>
      </c>
      <c r="K31">
        <v>55</v>
      </c>
      <c r="L31" t="s">
        <v>82</v>
      </c>
      <c r="M31" t="s">
        <v>32</v>
      </c>
    </row>
    <row r="32" spans="1:13" x14ac:dyDescent="0.3">
      <c r="A32" t="s">
        <v>296</v>
      </c>
      <c r="B32" s="4">
        <v>45292</v>
      </c>
      <c r="C32" s="6">
        <v>0.53819444444444442</v>
      </c>
      <c r="D32" t="s">
        <v>297</v>
      </c>
      <c r="E32" t="s">
        <v>23</v>
      </c>
      <c r="F32">
        <v>28</v>
      </c>
      <c r="G32" t="s">
        <v>24</v>
      </c>
      <c r="H32" t="s">
        <v>25</v>
      </c>
      <c r="I32" t="s">
        <v>41</v>
      </c>
      <c r="K32">
        <v>57</v>
      </c>
      <c r="L32" t="s">
        <v>46</v>
      </c>
      <c r="M32" t="s">
        <v>32</v>
      </c>
    </row>
    <row r="33" spans="1:13" x14ac:dyDescent="0.3">
      <c r="A33" t="s">
        <v>298</v>
      </c>
      <c r="B33" s="4">
        <v>45320</v>
      </c>
      <c r="C33" s="6">
        <v>0.34097222222222223</v>
      </c>
      <c r="D33" t="s">
        <v>299</v>
      </c>
      <c r="E33" t="s">
        <v>23</v>
      </c>
      <c r="F33">
        <v>53</v>
      </c>
      <c r="G33" t="s">
        <v>24</v>
      </c>
      <c r="H33" t="s">
        <v>25</v>
      </c>
      <c r="I33" t="s">
        <v>41</v>
      </c>
      <c r="K33">
        <v>52</v>
      </c>
      <c r="L33" t="s">
        <v>59</v>
      </c>
      <c r="M33" t="s">
        <v>32</v>
      </c>
    </row>
    <row r="34" spans="1:13" x14ac:dyDescent="0.3">
      <c r="A34" t="s">
        <v>300</v>
      </c>
      <c r="B34" s="4">
        <v>45309</v>
      </c>
      <c r="C34" s="6">
        <v>0.91666666666666663</v>
      </c>
      <c r="D34" t="s">
        <v>301</v>
      </c>
      <c r="E34" t="s">
        <v>23</v>
      </c>
      <c r="F34">
        <v>44</v>
      </c>
      <c r="G34" t="s">
        <v>24</v>
      </c>
      <c r="H34" t="s">
        <v>25</v>
      </c>
      <c r="I34" t="s">
        <v>41</v>
      </c>
      <c r="K34">
        <v>60</v>
      </c>
      <c r="L34" t="s">
        <v>27</v>
      </c>
      <c r="M34" t="s">
        <v>32</v>
      </c>
    </row>
    <row r="35" spans="1:13" x14ac:dyDescent="0.3">
      <c r="A35" t="s">
        <v>302</v>
      </c>
      <c r="B35" s="4">
        <v>45314</v>
      </c>
      <c r="C35" s="6">
        <v>0.53472222222222221</v>
      </c>
      <c r="D35" t="s">
        <v>303</v>
      </c>
      <c r="E35" t="s">
        <v>23</v>
      </c>
      <c r="F35">
        <v>70</v>
      </c>
      <c r="G35" t="s">
        <v>24</v>
      </c>
      <c r="H35" t="s">
        <v>25</v>
      </c>
      <c r="I35" t="s">
        <v>41</v>
      </c>
      <c r="K35">
        <v>59</v>
      </c>
      <c r="L35" t="s">
        <v>36</v>
      </c>
      <c r="M35" t="s">
        <v>32</v>
      </c>
    </row>
    <row r="36" spans="1:13" x14ac:dyDescent="0.3">
      <c r="A36" t="s">
        <v>304</v>
      </c>
      <c r="B36" s="4">
        <v>45302</v>
      </c>
      <c r="C36" s="6">
        <v>0.33402777777777776</v>
      </c>
      <c r="D36" t="s">
        <v>305</v>
      </c>
      <c r="E36" t="s">
        <v>39</v>
      </c>
      <c r="F36">
        <v>25</v>
      </c>
      <c r="G36" t="s">
        <v>24</v>
      </c>
      <c r="H36" t="s">
        <v>25</v>
      </c>
      <c r="I36" t="s">
        <v>41</v>
      </c>
      <c r="K36">
        <v>49</v>
      </c>
      <c r="L36" t="s">
        <v>46</v>
      </c>
      <c r="M36" t="s">
        <v>32</v>
      </c>
    </row>
    <row r="37" spans="1:13" x14ac:dyDescent="0.3">
      <c r="A37" t="s">
        <v>306</v>
      </c>
      <c r="B37" s="4">
        <v>45305</v>
      </c>
      <c r="C37" s="6">
        <v>4.4444444444444446E-2</v>
      </c>
      <c r="D37" t="s">
        <v>307</v>
      </c>
      <c r="E37" t="s">
        <v>39</v>
      </c>
      <c r="F37">
        <v>71</v>
      </c>
      <c r="G37" t="s">
        <v>24</v>
      </c>
      <c r="H37" t="s">
        <v>25</v>
      </c>
      <c r="I37" t="s">
        <v>41</v>
      </c>
      <c r="K37">
        <v>60</v>
      </c>
      <c r="L37" t="s">
        <v>82</v>
      </c>
      <c r="M37" t="s">
        <v>32</v>
      </c>
    </row>
    <row r="38" spans="1:13" x14ac:dyDescent="0.3">
      <c r="A38" t="s">
        <v>308</v>
      </c>
      <c r="B38" s="4">
        <v>45307</v>
      </c>
      <c r="C38" s="6">
        <v>0.63124999999999998</v>
      </c>
      <c r="D38" t="s">
        <v>309</v>
      </c>
      <c r="E38" t="s">
        <v>39</v>
      </c>
      <c r="F38">
        <v>50</v>
      </c>
      <c r="G38" t="s">
        <v>24</v>
      </c>
      <c r="H38" t="s">
        <v>25</v>
      </c>
      <c r="I38" t="s">
        <v>41</v>
      </c>
      <c r="K38">
        <v>47</v>
      </c>
      <c r="L38" t="s">
        <v>27</v>
      </c>
      <c r="M38" t="s">
        <v>32</v>
      </c>
    </row>
    <row r="39" spans="1:13" x14ac:dyDescent="0.3">
      <c r="A39" t="s">
        <v>310</v>
      </c>
      <c r="B39" s="4">
        <v>45297</v>
      </c>
      <c r="C39" s="6">
        <v>0.35</v>
      </c>
      <c r="D39" t="s">
        <v>311</v>
      </c>
      <c r="E39" t="s">
        <v>39</v>
      </c>
      <c r="F39">
        <v>68</v>
      </c>
      <c r="G39" t="s">
        <v>24</v>
      </c>
      <c r="H39" t="s">
        <v>25</v>
      </c>
      <c r="I39" t="s">
        <v>41</v>
      </c>
      <c r="K39">
        <v>41</v>
      </c>
      <c r="L39" t="s">
        <v>36</v>
      </c>
      <c r="M39" t="s">
        <v>32</v>
      </c>
    </row>
    <row r="40" spans="1:13" x14ac:dyDescent="0.3">
      <c r="A40" t="s">
        <v>312</v>
      </c>
      <c r="B40" s="4">
        <v>45322</v>
      </c>
      <c r="C40" s="6">
        <v>0.10069444444444445</v>
      </c>
      <c r="D40" t="s">
        <v>313</v>
      </c>
      <c r="E40" t="s">
        <v>39</v>
      </c>
      <c r="F40">
        <v>48</v>
      </c>
      <c r="G40" t="s">
        <v>24</v>
      </c>
      <c r="H40" t="s">
        <v>25</v>
      </c>
      <c r="I40" t="s">
        <v>41</v>
      </c>
      <c r="K40">
        <v>47</v>
      </c>
      <c r="L40" t="s">
        <v>27</v>
      </c>
      <c r="M40" t="s">
        <v>32</v>
      </c>
    </row>
    <row r="41" spans="1:13" x14ac:dyDescent="0.3">
      <c r="A41" t="s">
        <v>314</v>
      </c>
      <c r="B41" s="4">
        <v>45314</v>
      </c>
      <c r="C41" s="6">
        <v>0.1361111111111111</v>
      </c>
      <c r="D41" t="s">
        <v>315</v>
      </c>
      <c r="E41" t="s">
        <v>39</v>
      </c>
      <c r="F41">
        <v>75</v>
      </c>
      <c r="G41" t="s">
        <v>24</v>
      </c>
      <c r="H41" t="s">
        <v>25</v>
      </c>
      <c r="I41" t="s">
        <v>41</v>
      </c>
      <c r="K41">
        <v>36</v>
      </c>
      <c r="L41" t="s">
        <v>82</v>
      </c>
      <c r="M41" t="s">
        <v>32</v>
      </c>
    </row>
    <row r="42" spans="1:13" x14ac:dyDescent="0.3">
      <c r="A42" t="s">
        <v>316</v>
      </c>
      <c r="B42" s="4">
        <v>45315</v>
      </c>
      <c r="C42" s="6">
        <v>0.4909722222222222</v>
      </c>
      <c r="D42" t="s">
        <v>317</v>
      </c>
      <c r="E42" t="s">
        <v>39</v>
      </c>
      <c r="F42">
        <v>13</v>
      </c>
      <c r="G42" t="s">
        <v>24</v>
      </c>
      <c r="H42" t="s">
        <v>25</v>
      </c>
      <c r="I42" t="s">
        <v>41</v>
      </c>
      <c r="K42">
        <v>52</v>
      </c>
      <c r="L42" t="s">
        <v>42</v>
      </c>
      <c r="M42" t="s">
        <v>32</v>
      </c>
    </row>
    <row r="43" spans="1:13" x14ac:dyDescent="0.3">
      <c r="A43" t="s">
        <v>318</v>
      </c>
      <c r="B43" s="4">
        <v>45306</v>
      </c>
      <c r="C43" s="6">
        <v>0.95416666666666672</v>
      </c>
      <c r="D43" t="s">
        <v>319</v>
      </c>
      <c r="E43" t="s">
        <v>39</v>
      </c>
      <c r="F43">
        <v>78</v>
      </c>
      <c r="G43" t="s">
        <v>24</v>
      </c>
      <c r="H43" t="s">
        <v>25</v>
      </c>
      <c r="I43" t="s">
        <v>41</v>
      </c>
      <c r="K43">
        <v>44</v>
      </c>
      <c r="L43" t="s">
        <v>82</v>
      </c>
      <c r="M43" t="s">
        <v>32</v>
      </c>
    </row>
    <row r="44" spans="1:13" x14ac:dyDescent="0.3">
      <c r="A44" t="s">
        <v>105</v>
      </c>
      <c r="B44" s="4">
        <v>45304</v>
      </c>
      <c r="C44" s="6">
        <v>3.1944444444444442E-2</v>
      </c>
      <c r="D44" t="s">
        <v>106</v>
      </c>
      <c r="E44" t="s">
        <v>39</v>
      </c>
      <c r="F44">
        <v>3</v>
      </c>
      <c r="G44" t="s">
        <v>35</v>
      </c>
      <c r="H44" t="s">
        <v>25</v>
      </c>
      <c r="I44" t="s">
        <v>41</v>
      </c>
      <c r="K44">
        <v>50</v>
      </c>
      <c r="L44" t="s">
        <v>52</v>
      </c>
      <c r="M44" t="s">
        <v>32</v>
      </c>
    </row>
    <row r="45" spans="1:13" x14ac:dyDescent="0.3">
      <c r="A45" t="s">
        <v>320</v>
      </c>
      <c r="B45" s="4">
        <v>45321</v>
      </c>
      <c r="C45" s="6">
        <v>0.19791666666666666</v>
      </c>
      <c r="D45" t="s">
        <v>321</v>
      </c>
      <c r="E45" t="s">
        <v>39</v>
      </c>
      <c r="F45">
        <v>67</v>
      </c>
      <c r="G45" t="s">
        <v>35</v>
      </c>
      <c r="H45" t="s">
        <v>25</v>
      </c>
      <c r="I45" t="s">
        <v>41</v>
      </c>
      <c r="K45">
        <v>44</v>
      </c>
      <c r="L45" t="s">
        <v>36</v>
      </c>
      <c r="M45" t="s">
        <v>32</v>
      </c>
    </row>
    <row r="46" spans="1:13" x14ac:dyDescent="0.3">
      <c r="A46" t="s">
        <v>322</v>
      </c>
      <c r="B46" s="4">
        <v>45320</v>
      </c>
      <c r="C46" s="6">
        <v>0.69791666666666663</v>
      </c>
      <c r="D46" t="s">
        <v>323</v>
      </c>
      <c r="E46" t="s">
        <v>39</v>
      </c>
      <c r="F46">
        <v>36</v>
      </c>
      <c r="G46" t="s">
        <v>35</v>
      </c>
      <c r="H46" t="s">
        <v>25</v>
      </c>
      <c r="I46" t="s">
        <v>41</v>
      </c>
      <c r="K46">
        <v>36</v>
      </c>
      <c r="L46" t="s">
        <v>31</v>
      </c>
      <c r="M46" t="s">
        <v>32</v>
      </c>
    </row>
    <row r="47" spans="1:13" x14ac:dyDescent="0.3">
      <c r="A47" t="s">
        <v>324</v>
      </c>
      <c r="B47" s="4">
        <v>45301</v>
      </c>
      <c r="C47" s="6">
        <v>0.49027777777777776</v>
      </c>
      <c r="D47" t="s">
        <v>325</v>
      </c>
      <c r="E47" t="s">
        <v>39</v>
      </c>
      <c r="F47">
        <v>53</v>
      </c>
      <c r="G47" t="s">
        <v>35</v>
      </c>
      <c r="H47" t="s">
        <v>25</v>
      </c>
      <c r="I47" t="s">
        <v>41</v>
      </c>
      <c r="K47">
        <v>58</v>
      </c>
      <c r="L47" t="s">
        <v>59</v>
      </c>
      <c r="M47" t="s">
        <v>32</v>
      </c>
    </row>
    <row r="48" spans="1:13" x14ac:dyDescent="0.3">
      <c r="A48" t="s">
        <v>326</v>
      </c>
      <c r="B48" s="4">
        <v>45305</v>
      </c>
      <c r="C48" s="6">
        <v>7.1527777777777773E-2</v>
      </c>
      <c r="D48" t="s">
        <v>327</v>
      </c>
      <c r="E48" t="s">
        <v>39</v>
      </c>
      <c r="F48">
        <v>38</v>
      </c>
      <c r="G48" t="s">
        <v>35</v>
      </c>
      <c r="H48" t="s">
        <v>25</v>
      </c>
      <c r="I48" t="s">
        <v>41</v>
      </c>
      <c r="K48">
        <v>57</v>
      </c>
      <c r="L48" t="s">
        <v>31</v>
      </c>
      <c r="M48" t="s">
        <v>32</v>
      </c>
    </row>
    <row r="49" spans="1:13" x14ac:dyDescent="0.3">
      <c r="A49" t="s">
        <v>328</v>
      </c>
      <c r="B49" s="4">
        <v>45305</v>
      </c>
      <c r="C49" s="6">
        <v>0.80555555555555558</v>
      </c>
      <c r="D49" t="s">
        <v>329</v>
      </c>
      <c r="E49" t="s">
        <v>39</v>
      </c>
      <c r="F49">
        <v>67</v>
      </c>
      <c r="G49" t="s">
        <v>35</v>
      </c>
      <c r="H49" t="s">
        <v>25</v>
      </c>
      <c r="I49" t="s">
        <v>41</v>
      </c>
      <c r="K49">
        <v>60</v>
      </c>
      <c r="L49" t="s">
        <v>36</v>
      </c>
      <c r="M49" t="s">
        <v>32</v>
      </c>
    </row>
    <row r="50" spans="1:13" x14ac:dyDescent="0.3">
      <c r="A50" t="s">
        <v>330</v>
      </c>
      <c r="B50" s="4">
        <v>45321</v>
      </c>
      <c r="C50" s="6">
        <v>0.49513888888888891</v>
      </c>
      <c r="D50" t="s">
        <v>331</v>
      </c>
      <c r="E50" t="s">
        <v>39</v>
      </c>
      <c r="F50">
        <v>14</v>
      </c>
      <c r="G50" t="s">
        <v>35</v>
      </c>
      <c r="H50" t="s">
        <v>25</v>
      </c>
      <c r="I50" t="s">
        <v>41</v>
      </c>
      <c r="K50">
        <v>34</v>
      </c>
      <c r="L50" t="s">
        <v>42</v>
      </c>
      <c r="M50" t="s">
        <v>32</v>
      </c>
    </row>
    <row r="51" spans="1:13" x14ac:dyDescent="0.3">
      <c r="A51" t="s">
        <v>109</v>
      </c>
      <c r="B51" s="4">
        <v>45305</v>
      </c>
      <c r="C51" s="6">
        <v>0.39861111111111114</v>
      </c>
      <c r="D51" t="s">
        <v>110</v>
      </c>
      <c r="E51" t="s">
        <v>39</v>
      </c>
      <c r="F51">
        <v>2</v>
      </c>
      <c r="G51" t="s">
        <v>35</v>
      </c>
      <c r="H51" t="s">
        <v>25</v>
      </c>
      <c r="I51" t="s">
        <v>41</v>
      </c>
      <c r="K51">
        <v>41</v>
      </c>
      <c r="L51" t="s">
        <v>52</v>
      </c>
      <c r="M51" t="s">
        <v>32</v>
      </c>
    </row>
    <row r="52" spans="1:13" x14ac:dyDescent="0.3">
      <c r="A52" t="s">
        <v>332</v>
      </c>
      <c r="B52" s="4">
        <v>45305</v>
      </c>
      <c r="C52" s="6">
        <v>0.63402777777777775</v>
      </c>
      <c r="D52" t="s">
        <v>333</v>
      </c>
      <c r="E52" t="s">
        <v>23</v>
      </c>
      <c r="F52">
        <v>42</v>
      </c>
      <c r="G52" t="s">
        <v>35</v>
      </c>
      <c r="H52" t="s">
        <v>25</v>
      </c>
      <c r="I52" t="s">
        <v>41</v>
      </c>
      <c r="K52">
        <v>55</v>
      </c>
      <c r="L52" t="s">
        <v>27</v>
      </c>
      <c r="M52" t="s">
        <v>32</v>
      </c>
    </row>
    <row r="53" spans="1:13" x14ac:dyDescent="0.3">
      <c r="A53" t="s">
        <v>334</v>
      </c>
      <c r="B53" s="4">
        <v>45309</v>
      </c>
      <c r="C53" s="6">
        <v>0.40138888888888891</v>
      </c>
      <c r="D53" t="s">
        <v>335</v>
      </c>
      <c r="E53" t="s">
        <v>23</v>
      </c>
      <c r="F53">
        <v>13</v>
      </c>
      <c r="G53" t="s">
        <v>35</v>
      </c>
      <c r="H53" t="s">
        <v>25</v>
      </c>
      <c r="I53" t="s">
        <v>41</v>
      </c>
      <c r="K53">
        <v>54</v>
      </c>
      <c r="L53" t="s">
        <v>42</v>
      </c>
      <c r="M53" t="s">
        <v>32</v>
      </c>
    </row>
    <row r="54" spans="1:13" x14ac:dyDescent="0.3">
      <c r="A54" t="s">
        <v>336</v>
      </c>
      <c r="B54" s="4">
        <v>45319</v>
      </c>
      <c r="C54" s="6">
        <v>0.3576388888888889</v>
      </c>
      <c r="D54" t="s">
        <v>337</v>
      </c>
      <c r="E54" t="s">
        <v>23</v>
      </c>
      <c r="F54">
        <v>17</v>
      </c>
      <c r="G54" t="s">
        <v>35</v>
      </c>
      <c r="H54" t="s">
        <v>25</v>
      </c>
      <c r="I54" t="s">
        <v>41</v>
      </c>
      <c r="K54">
        <v>42</v>
      </c>
      <c r="L54" t="s">
        <v>42</v>
      </c>
      <c r="M54" t="s">
        <v>32</v>
      </c>
    </row>
    <row r="55" spans="1:13" x14ac:dyDescent="0.3">
      <c r="A55" t="s">
        <v>338</v>
      </c>
      <c r="B55" s="4">
        <v>45305</v>
      </c>
      <c r="C55" s="6">
        <v>0.37222222222222223</v>
      </c>
      <c r="D55" t="s">
        <v>339</v>
      </c>
      <c r="E55" t="s">
        <v>23</v>
      </c>
      <c r="F55">
        <v>77</v>
      </c>
      <c r="G55" t="s">
        <v>35</v>
      </c>
      <c r="H55" t="s">
        <v>25</v>
      </c>
      <c r="I55" t="s">
        <v>41</v>
      </c>
      <c r="K55">
        <v>34</v>
      </c>
      <c r="L55" t="s">
        <v>82</v>
      </c>
      <c r="M55" t="s">
        <v>32</v>
      </c>
    </row>
    <row r="56" spans="1:13" x14ac:dyDescent="0.3">
      <c r="A56" t="s">
        <v>340</v>
      </c>
      <c r="B56" s="4">
        <v>45319</v>
      </c>
      <c r="C56" s="6">
        <v>0.62361111111111112</v>
      </c>
      <c r="D56" t="s">
        <v>341</v>
      </c>
      <c r="E56" t="s">
        <v>23</v>
      </c>
      <c r="F56">
        <v>25</v>
      </c>
      <c r="G56" t="s">
        <v>35</v>
      </c>
      <c r="H56" t="s">
        <v>25</v>
      </c>
      <c r="I56" t="s">
        <v>41</v>
      </c>
      <c r="K56">
        <v>36</v>
      </c>
      <c r="L56" t="s">
        <v>46</v>
      </c>
      <c r="M56" t="s">
        <v>32</v>
      </c>
    </row>
    <row r="57" spans="1:13" x14ac:dyDescent="0.3">
      <c r="A57" t="s">
        <v>342</v>
      </c>
      <c r="B57" s="4">
        <v>45296</v>
      </c>
      <c r="C57" s="6">
        <v>0.24861111111111112</v>
      </c>
      <c r="D57" t="s">
        <v>343</v>
      </c>
      <c r="E57" t="s">
        <v>23</v>
      </c>
      <c r="F57">
        <v>54</v>
      </c>
      <c r="G57" t="s">
        <v>35</v>
      </c>
      <c r="H57" t="s">
        <v>25</v>
      </c>
      <c r="I57" t="s">
        <v>41</v>
      </c>
      <c r="K57">
        <v>55</v>
      </c>
      <c r="L57" t="s">
        <v>59</v>
      </c>
      <c r="M57" t="s">
        <v>32</v>
      </c>
    </row>
    <row r="58" spans="1:13" x14ac:dyDescent="0.3">
      <c r="A58" t="s">
        <v>344</v>
      </c>
      <c r="B58" s="4">
        <v>45302</v>
      </c>
      <c r="C58" s="6">
        <v>0.79722222222222228</v>
      </c>
      <c r="D58" t="s">
        <v>345</v>
      </c>
      <c r="E58" t="s">
        <v>23</v>
      </c>
      <c r="F58">
        <v>38</v>
      </c>
      <c r="G58" t="s">
        <v>35</v>
      </c>
      <c r="H58" t="s">
        <v>25</v>
      </c>
      <c r="I58" t="s">
        <v>41</v>
      </c>
      <c r="K58">
        <v>36</v>
      </c>
      <c r="L58" t="s">
        <v>31</v>
      </c>
      <c r="M58" t="s">
        <v>32</v>
      </c>
    </row>
    <row r="59" spans="1:13" x14ac:dyDescent="0.3">
      <c r="A59" t="s">
        <v>111</v>
      </c>
      <c r="B59" s="4">
        <v>45312</v>
      </c>
      <c r="C59" s="6">
        <v>0.60277777777777775</v>
      </c>
      <c r="D59" t="s">
        <v>112</v>
      </c>
      <c r="E59" t="s">
        <v>23</v>
      </c>
      <c r="F59">
        <v>5</v>
      </c>
      <c r="G59" t="s">
        <v>35</v>
      </c>
      <c r="H59" t="s">
        <v>25</v>
      </c>
      <c r="I59" t="s">
        <v>41</v>
      </c>
      <c r="K59">
        <v>39</v>
      </c>
      <c r="L59" t="s">
        <v>52</v>
      </c>
      <c r="M59" t="s">
        <v>32</v>
      </c>
    </row>
    <row r="60" spans="1:13" x14ac:dyDescent="0.3">
      <c r="A60" t="s">
        <v>113</v>
      </c>
      <c r="B60" s="4">
        <v>45319</v>
      </c>
      <c r="C60" s="6">
        <v>0.80972222222222223</v>
      </c>
      <c r="D60" t="s">
        <v>114</v>
      </c>
      <c r="E60" t="s">
        <v>23</v>
      </c>
      <c r="F60">
        <v>6</v>
      </c>
      <c r="G60" t="s">
        <v>35</v>
      </c>
      <c r="H60" t="s">
        <v>25</v>
      </c>
      <c r="I60" t="s">
        <v>41</v>
      </c>
      <c r="K60">
        <v>50</v>
      </c>
      <c r="L60" t="s">
        <v>52</v>
      </c>
      <c r="M60" t="s">
        <v>32</v>
      </c>
    </row>
    <row r="61" spans="1:13" x14ac:dyDescent="0.3">
      <c r="A61" t="s">
        <v>346</v>
      </c>
      <c r="B61" s="4">
        <v>45294</v>
      </c>
      <c r="C61" s="6">
        <v>0.55208333333333337</v>
      </c>
      <c r="D61" t="s">
        <v>347</v>
      </c>
      <c r="E61" t="s">
        <v>23</v>
      </c>
      <c r="F61">
        <v>53</v>
      </c>
      <c r="G61" t="s">
        <v>35</v>
      </c>
      <c r="H61" t="s">
        <v>25</v>
      </c>
      <c r="I61" t="s">
        <v>26</v>
      </c>
      <c r="K61">
        <v>31</v>
      </c>
      <c r="L61" t="s">
        <v>59</v>
      </c>
      <c r="M61" t="s">
        <v>32</v>
      </c>
    </row>
    <row r="62" spans="1:13" x14ac:dyDescent="0.3">
      <c r="A62" t="s">
        <v>348</v>
      </c>
      <c r="B62" s="4">
        <v>45320</v>
      </c>
      <c r="C62" s="6">
        <v>0.11388888888888889</v>
      </c>
      <c r="D62" t="s">
        <v>349</v>
      </c>
      <c r="E62" t="s">
        <v>23</v>
      </c>
      <c r="F62">
        <v>45</v>
      </c>
      <c r="G62" t="s">
        <v>35</v>
      </c>
      <c r="H62" t="s">
        <v>25</v>
      </c>
      <c r="I62" t="s">
        <v>26</v>
      </c>
      <c r="K62">
        <v>31</v>
      </c>
      <c r="L62" t="s">
        <v>27</v>
      </c>
      <c r="M62" t="s">
        <v>32</v>
      </c>
    </row>
    <row r="63" spans="1:13" x14ac:dyDescent="0.3">
      <c r="A63" t="s">
        <v>350</v>
      </c>
      <c r="B63" s="4">
        <v>45301</v>
      </c>
      <c r="C63" s="6">
        <v>0.25069444444444444</v>
      </c>
      <c r="D63" t="s">
        <v>351</v>
      </c>
      <c r="E63" t="s">
        <v>23</v>
      </c>
      <c r="F63">
        <v>68</v>
      </c>
      <c r="G63" t="s">
        <v>35</v>
      </c>
      <c r="H63" t="s">
        <v>25</v>
      </c>
      <c r="I63" t="s">
        <v>26</v>
      </c>
      <c r="K63">
        <v>55</v>
      </c>
      <c r="L63" t="s">
        <v>36</v>
      </c>
      <c r="M63" t="s">
        <v>32</v>
      </c>
    </row>
    <row r="64" spans="1:13" x14ac:dyDescent="0.3">
      <c r="A64" t="s">
        <v>352</v>
      </c>
      <c r="B64" s="4">
        <v>45294</v>
      </c>
      <c r="C64" s="6">
        <v>0.45902777777777776</v>
      </c>
      <c r="D64" t="s">
        <v>353</v>
      </c>
      <c r="E64" t="s">
        <v>23</v>
      </c>
      <c r="F64">
        <v>45</v>
      </c>
      <c r="G64" t="s">
        <v>35</v>
      </c>
      <c r="H64" t="s">
        <v>25</v>
      </c>
      <c r="I64" t="s">
        <v>26</v>
      </c>
      <c r="K64">
        <v>57</v>
      </c>
      <c r="L64" t="s">
        <v>27</v>
      </c>
      <c r="M64" t="s">
        <v>32</v>
      </c>
    </row>
    <row r="65" spans="1:13" x14ac:dyDescent="0.3">
      <c r="A65" t="s">
        <v>354</v>
      </c>
      <c r="B65" s="4">
        <v>45319</v>
      </c>
      <c r="C65" s="6">
        <v>0.34097222222222223</v>
      </c>
      <c r="D65" t="s">
        <v>355</v>
      </c>
      <c r="E65" t="s">
        <v>39</v>
      </c>
      <c r="F65">
        <v>39</v>
      </c>
      <c r="G65" t="s">
        <v>35</v>
      </c>
      <c r="H65" t="s">
        <v>25</v>
      </c>
      <c r="I65" t="s">
        <v>26</v>
      </c>
      <c r="K65">
        <v>37</v>
      </c>
      <c r="L65" t="s">
        <v>31</v>
      </c>
      <c r="M65" t="s">
        <v>32</v>
      </c>
    </row>
    <row r="66" spans="1:13" x14ac:dyDescent="0.3">
      <c r="A66" t="s">
        <v>356</v>
      </c>
      <c r="B66" s="4">
        <v>45314</v>
      </c>
      <c r="C66" s="6">
        <v>0.98263888888888884</v>
      </c>
      <c r="D66" t="s">
        <v>357</v>
      </c>
      <c r="E66" t="s">
        <v>39</v>
      </c>
      <c r="F66">
        <v>12</v>
      </c>
      <c r="G66" t="s">
        <v>35</v>
      </c>
      <c r="H66" t="s">
        <v>25</v>
      </c>
      <c r="I66" t="s">
        <v>26</v>
      </c>
      <c r="K66">
        <v>57</v>
      </c>
      <c r="L66" t="s">
        <v>42</v>
      </c>
      <c r="M66" t="s">
        <v>32</v>
      </c>
    </row>
    <row r="67" spans="1:13" x14ac:dyDescent="0.3">
      <c r="A67" t="s">
        <v>358</v>
      </c>
      <c r="B67" s="4">
        <v>45321</v>
      </c>
      <c r="C67" s="6">
        <v>7.9166666666666663E-2</v>
      </c>
      <c r="D67" t="s">
        <v>359</v>
      </c>
      <c r="E67" t="s">
        <v>39</v>
      </c>
      <c r="F67">
        <v>27</v>
      </c>
      <c r="G67" t="s">
        <v>35</v>
      </c>
      <c r="H67" t="s">
        <v>25</v>
      </c>
      <c r="I67" t="s">
        <v>26</v>
      </c>
      <c r="K67">
        <v>41</v>
      </c>
      <c r="L67" t="s">
        <v>46</v>
      </c>
      <c r="M67" t="s">
        <v>32</v>
      </c>
    </row>
    <row r="68" spans="1:13" x14ac:dyDescent="0.3">
      <c r="A68" t="s">
        <v>360</v>
      </c>
      <c r="B68" s="4">
        <v>45299</v>
      </c>
      <c r="C68" s="6">
        <v>0.61527777777777781</v>
      </c>
      <c r="D68" t="s">
        <v>361</v>
      </c>
      <c r="E68" t="s">
        <v>39</v>
      </c>
      <c r="F68">
        <v>38</v>
      </c>
      <c r="G68" t="s">
        <v>35</v>
      </c>
      <c r="H68" t="s">
        <v>25</v>
      </c>
      <c r="I68" t="s">
        <v>26</v>
      </c>
      <c r="K68">
        <v>56</v>
      </c>
      <c r="L68" t="s">
        <v>31</v>
      </c>
      <c r="M68" t="s">
        <v>32</v>
      </c>
    </row>
    <row r="69" spans="1:13" x14ac:dyDescent="0.3">
      <c r="A69" t="s">
        <v>117</v>
      </c>
      <c r="B69" s="4">
        <v>45318</v>
      </c>
      <c r="C69" s="6">
        <v>0.38819444444444445</v>
      </c>
      <c r="D69" t="s">
        <v>118</v>
      </c>
      <c r="E69" t="s">
        <v>39</v>
      </c>
      <c r="F69">
        <v>7</v>
      </c>
      <c r="G69" t="s">
        <v>35</v>
      </c>
      <c r="H69" t="s">
        <v>25</v>
      </c>
      <c r="I69" t="s">
        <v>26</v>
      </c>
      <c r="K69">
        <v>45</v>
      </c>
      <c r="L69" t="s">
        <v>52</v>
      </c>
      <c r="M69" t="s">
        <v>32</v>
      </c>
    </row>
    <row r="70" spans="1:13" x14ac:dyDescent="0.3">
      <c r="A70" t="s">
        <v>362</v>
      </c>
      <c r="B70" s="4">
        <v>45295</v>
      </c>
      <c r="C70" s="6">
        <v>0.2361111111111111</v>
      </c>
      <c r="D70" t="s">
        <v>363</v>
      </c>
      <c r="E70" t="s">
        <v>39</v>
      </c>
      <c r="F70">
        <v>73</v>
      </c>
      <c r="G70" t="s">
        <v>35</v>
      </c>
      <c r="H70" t="s">
        <v>25</v>
      </c>
      <c r="I70" t="s">
        <v>26</v>
      </c>
      <c r="K70">
        <v>60</v>
      </c>
      <c r="L70" t="s">
        <v>82</v>
      </c>
      <c r="M70" t="s">
        <v>32</v>
      </c>
    </row>
    <row r="71" spans="1:13" x14ac:dyDescent="0.3">
      <c r="A71" t="s">
        <v>364</v>
      </c>
      <c r="B71" s="4">
        <v>45315</v>
      </c>
      <c r="C71" s="6">
        <v>0.1125</v>
      </c>
      <c r="D71" t="s">
        <v>365</v>
      </c>
      <c r="E71" t="s">
        <v>23</v>
      </c>
      <c r="F71">
        <v>25</v>
      </c>
      <c r="G71" t="s">
        <v>40</v>
      </c>
      <c r="H71" t="s">
        <v>25</v>
      </c>
      <c r="I71" t="s">
        <v>26</v>
      </c>
      <c r="K71">
        <v>57</v>
      </c>
      <c r="L71" t="s">
        <v>46</v>
      </c>
      <c r="M71" t="s">
        <v>32</v>
      </c>
    </row>
    <row r="72" spans="1:13" x14ac:dyDescent="0.3">
      <c r="A72" t="s">
        <v>366</v>
      </c>
      <c r="B72" s="4">
        <v>45316</v>
      </c>
      <c r="C72" s="6">
        <v>0.16458333333333333</v>
      </c>
      <c r="D72" t="s">
        <v>367</v>
      </c>
      <c r="E72" t="s">
        <v>23</v>
      </c>
      <c r="F72">
        <v>18</v>
      </c>
      <c r="G72" t="s">
        <v>40</v>
      </c>
      <c r="H72" t="s">
        <v>25</v>
      </c>
      <c r="I72" t="s">
        <v>26</v>
      </c>
      <c r="K72">
        <v>44</v>
      </c>
      <c r="L72" t="s">
        <v>42</v>
      </c>
      <c r="M72" t="s">
        <v>32</v>
      </c>
    </row>
    <row r="73" spans="1:13" x14ac:dyDescent="0.3">
      <c r="A73" t="s">
        <v>368</v>
      </c>
      <c r="B73" s="4">
        <v>45304</v>
      </c>
      <c r="C73" s="6">
        <v>0.39444444444444443</v>
      </c>
      <c r="D73" t="s">
        <v>369</v>
      </c>
      <c r="E73" t="s">
        <v>23</v>
      </c>
      <c r="F73">
        <v>40</v>
      </c>
      <c r="G73" t="s">
        <v>40</v>
      </c>
      <c r="H73" t="s">
        <v>25</v>
      </c>
      <c r="I73" t="s">
        <v>26</v>
      </c>
      <c r="K73">
        <v>40</v>
      </c>
      <c r="L73" t="s">
        <v>31</v>
      </c>
      <c r="M73" t="s">
        <v>32</v>
      </c>
    </row>
    <row r="74" spans="1:13" x14ac:dyDescent="0.3">
      <c r="A74" t="s">
        <v>370</v>
      </c>
      <c r="B74" s="4">
        <v>45305</v>
      </c>
      <c r="C74" s="6">
        <v>0.24583333333333332</v>
      </c>
      <c r="D74" t="s">
        <v>371</v>
      </c>
      <c r="E74" t="s">
        <v>23</v>
      </c>
      <c r="F74">
        <v>52</v>
      </c>
      <c r="G74" t="s">
        <v>40</v>
      </c>
      <c r="H74" t="s">
        <v>25</v>
      </c>
      <c r="I74" t="s">
        <v>26</v>
      </c>
      <c r="K74">
        <v>39</v>
      </c>
      <c r="L74" t="s">
        <v>59</v>
      </c>
      <c r="M74" t="s">
        <v>32</v>
      </c>
    </row>
    <row r="75" spans="1:13" x14ac:dyDescent="0.3">
      <c r="A75" t="s">
        <v>372</v>
      </c>
      <c r="B75" s="4">
        <v>45313</v>
      </c>
      <c r="C75" s="6">
        <v>0.77361111111111114</v>
      </c>
      <c r="D75" t="s">
        <v>373</v>
      </c>
      <c r="E75" t="s">
        <v>23</v>
      </c>
      <c r="F75">
        <v>46</v>
      </c>
      <c r="G75" t="s">
        <v>40</v>
      </c>
      <c r="H75" t="s">
        <v>25</v>
      </c>
      <c r="I75" t="s">
        <v>41</v>
      </c>
      <c r="K75">
        <v>57</v>
      </c>
      <c r="L75" t="s">
        <v>27</v>
      </c>
      <c r="M75" t="s">
        <v>32</v>
      </c>
    </row>
    <row r="76" spans="1:13" x14ac:dyDescent="0.3">
      <c r="A76" t="s">
        <v>119</v>
      </c>
      <c r="B76" s="4">
        <v>45297</v>
      </c>
      <c r="C76" s="6">
        <v>8.3333333333333329E-2</v>
      </c>
      <c r="D76" t="s">
        <v>120</v>
      </c>
      <c r="E76" t="s">
        <v>23</v>
      </c>
      <c r="F76">
        <v>5</v>
      </c>
      <c r="G76" t="s">
        <v>40</v>
      </c>
      <c r="H76" t="s">
        <v>25</v>
      </c>
      <c r="I76" t="s">
        <v>41</v>
      </c>
      <c r="K76">
        <v>41</v>
      </c>
      <c r="L76" t="s">
        <v>52</v>
      </c>
      <c r="M76" t="s">
        <v>32</v>
      </c>
    </row>
    <row r="77" spans="1:13" x14ac:dyDescent="0.3">
      <c r="A77" t="s">
        <v>123</v>
      </c>
      <c r="B77" s="4">
        <v>45320</v>
      </c>
      <c r="C77" s="6">
        <v>0.7583333333333333</v>
      </c>
      <c r="D77" t="s">
        <v>124</v>
      </c>
      <c r="E77" t="s">
        <v>23</v>
      </c>
      <c r="F77">
        <v>10</v>
      </c>
      <c r="G77" t="s">
        <v>40</v>
      </c>
      <c r="H77" t="s">
        <v>25</v>
      </c>
      <c r="I77" t="s">
        <v>41</v>
      </c>
      <c r="K77">
        <v>38</v>
      </c>
      <c r="L77" t="s">
        <v>52</v>
      </c>
      <c r="M77" t="s">
        <v>32</v>
      </c>
    </row>
    <row r="78" spans="1:13" x14ac:dyDescent="0.3">
      <c r="A78" t="s">
        <v>374</v>
      </c>
      <c r="B78" s="4">
        <v>45317</v>
      </c>
      <c r="C78" s="6">
        <v>0.89236111111111116</v>
      </c>
      <c r="D78" t="s">
        <v>375</v>
      </c>
      <c r="E78" t="s">
        <v>23</v>
      </c>
      <c r="F78">
        <v>36</v>
      </c>
      <c r="G78" t="s">
        <v>40</v>
      </c>
      <c r="H78" t="s">
        <v>25</v>
      </c>
      <c r="I78" t="s">
        <v>41</v>
      </c>
      <c r="K78">
        <v>53</v>
      </c>
      <c r="L78" t="s">
        <v>31</v>
      </c>
      <c r="M78" t="s">
        <v>32</v>
      </c>
    </row>
    <row r="79" spans="1:13" x14ac:dyDescent="0.3">
      <c r="A79" t="s">
        <v>376</v>
      </c>
      <c r="B79" s="4">
        <v>45304</v>
      </c>
      <c r="C79" s="6">
        <v>0.31597222222222221</v>
      </c>
      <c r="D79" t="s">
        <v>377</v>
      </c>
      <c r="E79" t="s">
        <v>23</v>
      </c>
      <c r="F79">
        <v>15</v>
      </c>
      <c r="G79" t="s">
        <v>40</v>
      </c>
      <c r="H79" t="s">
        <v>25</v>
      </c>
      <c r="I79" t="s">
        <v>41</v>
      </c>
      <c r="K79">
        <v>33</v>
      </c>
      <c r="L79" t="s">
        <v>42</v>
      </c>
      <c r="M79" t="s">
        <v>32</v>
      </c>
    </row>
    <row r="80" spans="1:13" x14ac:dyDescent="0.3">
      <c r="A80" t="s">
        <v>378</v>
      </c>
      <c r="B80" s="4">
        <v>45307</v>
      </c>
      <c r="C80" s="6">
        <v>0.83680555555555558</v>
      </c>
      <c r="D80" t="s">
        <v>379</v>
      </c>
      <c r="E80" t="s">
        <v>39</v>
      </c>
      <c r="F80">
        <v>14</v>
      </c>
      <c r="G80" t="s">
        <v>40</v>
      </c>
      <c r="H80" t="s">
        <v>25</v>
      </c>
      <c r="I80" t="s">
        <v>26</v>
      </c>
      <c r="K80">
        <v>52</v>
      </c>
      <c r="L80" t="s">
        <v>42</v>
      </c>
      <c r="M80" t="s">
        <v>32</v>
      </c>
    </row>
    <row r="81" spans="1:13" x14ac:dyDescent="0.3">
      <c r="A81" t="s">
        <v>380</v>
      </c>
      <c r="B81" s="4">
        <v>45309</v>
      </c>
      <c r="C81" s="6">
        <v>0.40694444444444444</v>
      </c>
      <c r="D81" t="s">
        <v>381</v>
      </c>
      <c r="E81" t="s">
        <v>39</v>
      </c>
      <c r="F81">
        <v>42</v>
      </c>
      <c r="G81" t="s">
        <v>40</v>
      </c>
      <c r="H81" t="s">
        <v>25</v>
      </c>
      <c r="I81" t="s">
        <v>26</v>
      </c>
      <c r="K81">
        <v>57</v>
      </c>
      <c r="L81" t="s">
        <v>27</v>
      </c>
      <c r="M81" t="s">
        <v>32</v>
      </c>
    </row>
    <row r="82" spans="1:13" x14ac:dyDescent="0.3">
      <c r="A82" t="s">
        <v>382</v>
      </c>
      <c r="B82" s="4">
        <v>45297</v>
      </c>
      <c r="C82" s="6">
        <v>0.54166666666666663</v>
      </c>
      <c r="D82" t="s">
        <v>383</v>
      </c>
      <c r="E82" t="s">
        <v>39</v>
      </c>
      <c r="F82">
        <v>18</v>
      </c>
      <c r="G82" t="s">
        <v>40</v>
      </c>
      <c r="H82" t="s">
        <v>25</v>
      </c>
      <c r="I82" t="s">
        <v>26</v>
      </c>
      <c r="K82">
        <v>53</v>
      </c>
      <c r="L82" t="s">
        <v>42</v>
      </c>
      <c r="M82" t="s">
        <v>32</v>
      </c>
    </row>
    <row r="83" spans="1:13" x14ac:dyDescent="0.3">
      <c r="A83" t="s">
        <v>125</v>
      </c>
      <c r="B83" s="4">
        <v>45318</v>
      </c>
      <c r="C83" s="6">
        <v>0.80972222222222223</v>
      </c>
      <c r="D83" t="s">
        <v>126</v>
      </c>
      <c r="E83" t="s">
        <v>39</v>
      </c>
      <c r="F83">
        <v>8</v>
      </c>
      <c r="G83" t="s">
        <v>40</v>
      </c>
      <c r="H83" t="s">
        <v>25</v>
      </c>
      <c r="I83" t="s">
        <v>26</v>
      </c>
      <c r="K83">
        <v>33</v>
      </c>
      <c r="L83" t="s">
        <v>52</v>
      </c>
      <c r="M83" t="s">
        <v>32</v>
      </c>
    </row>
    <row r="84" spans="1:13" x14ac:dyDescent="0.3">
      <c r="A84" t="s">
        <v>384</v>
      </c>
      <c r="B84" s="4">
        <v>45316</v>
      </c>
      <c r="C84" s="6">
        <v>9.8611111111111108E-2</v>
      </c>
      <c r="D84" t="s">
        <v>385</v>
      </c>
      <c r="E84" t="s">
        <v>39</v>
      </c>
      <c r="F84">
        <v>11</v>
      </c>
      <c r="G84" t="s">
        <v>40</v>
      </c>
      <c r="H84" t="s">
        <v>25</v>
      </c>
      <c r="I84" t="s">
        <v>26</v>
      </c>
      <c r="K84">
        <v>58</v>
      </c>
      <c r="L84" t="s">
        <v>42</v>
      </c>
      <c r="M84" t="s">
        <v>32</v>
      </c>
    </row>
    <row r="85" spans="1:13" x14ac:dyDescent="0.3">
      <c r="A85" t="s">
        <v>386</v>
      </c>
      <c r="B85" s="4">
        <v>45296</v>
      </c>
      <c r="C85" s="6">
        <v>0.92638888888888893</v>
      </c>
      <c r="D85" t="s">
        <v>387</v>
      </c>
      <c r="E85" t="s">
        <v>39</v>
      </c>
      <c r="F85">
        <v>17</v>
      </c>
      <c r="G85" t="s">
        <v>40</v>
      </c>
      <c r="H85" t="s">
        <v>25</v>
      </c>
      <c r="I85" t="s">
        <v>26</v>
      </c>
      <c r="K85">
        <v>48</v>
      </c>
      <c r="L85" t="s">
        <v>42</v>
      </c>
      <c r="M85" t="s">
        <v>32</v>
      </c>
    </row>
    <row r="86" spans="1:13" x14ac:dyDescent="0.3">
      <c r="A86" t="s">
        <v>127</v>
      </c>
      <c r="B86" s="4">
        <v>45314</v>
      </c>
      <c r="C86" s="6">
        <v>0.4201388888888889</v>
      </c>
      <c r="D86" t="s">
        <v>128</v>
      </c>
      <c r="E86" t="s">
        <v>39</v>
      </c>
      <c r="F86">
        <v>8</v>
      </c>
      <c r="G86" t="s">
        <v>40</v>
      </c>
      <c r="H86" t="s">
        <v>25</v>
      </c>
      <c r="I86" t="s">
        <v>26</v>
      </c>
      <c r="K86">
        <v>53</v>
      </c>
      <c r="L86" t="s">
        <v>52</v>
      </c>
      <c r="M86" t="s">
        <v>32</v>
      </c>
    </row>
    <row r="87" spans="1:13" x14ac:dyDescent="0.3">
      <c r="A87" t="s">
        <v>388</v>
      </c>
      <c r="B87" s="4">
        <v>45312</v>
      </c>
      <c r="C87" s="6">
        <v>0.14374999999999999</v>
      </c>
      <c r="D87" t="s">
        <v>389</v>
      </c>
      <c r="E87" t="s">
        <v>39</v>
      </c>
      <c r="F87">
        <v>28</v>
      </c>
      <c r="G87" t="s">
        <v>40</v>
      </c>
      <c r="H87" t="s">
        <v>25</v>
      </c>
      <c r="I87" t="s">
        <v>26</v>
      </c>
      <c r="K87">
        <v>44</v>
      </c>
      <c r="L87" t="s">
        <v>46</v>
      </c>
      <c r="M87" t="s">
        <v>32</v>
      </c>
    </row>
    <row r="88" spans="1:13" x14ac:dyDescent="0.3">
      <c r="A88" t="s">
        <v>390</v>
      </c>
      <c r="B88" s="4">
        <v>45303</v>
      </c>
      <c r="C88" s="6">
        <v>0.81805555555555554</v>
      </c>
      <c r="D88" t="s">
        <v>391</v>
      </c>
      <c r="E88" t="s">
        <v>39</v>
      </c>
      <c r="F88">
        <v>26</v>
      </c>
      <c r="G88" t="s">
        <v>40</v>
      </c>
      <c r="H88" t="s">
        <v>25</v>
      </c>
      <c r="I88" t="s">
        <v>26</v>
      </c>
      <c r="K88">
        <v>50</v>
      </c>
      <c r="L88" t="s">
        <v>46</v>
      </c>
      <c r="M88" t="s">
        <v>32</v>
      </c>
    </row>
    <row r="89" spans="1:13" x14ac:dyDescent="0.3">
      <c r="A89" t="s">
        <v>392</v>
      </c>
      <c r="B89" s="4">
        <v>45312</v>
      </c>
      <c r="C89" s="6">
        <v>0.20694444444444443</v>
      </c>
      <c r="D89" t="s">
        <v>393</v>
      </c>
      <c r="E89" t="s">
        <v>39</v>
      </c>
      <c r="F89">
        <v>57</v>
      </c>
      <c r="G89" t="s">
        <v>40</v>
      </c>
      <c r="H89" t="s">
        <v>25</v>
      </c>
      <c r="I89" t="s">
        <v>41</v>
      </c>
      <c r="K89">
        <v>36</v>
      </c>
      <c r="L89" t="s">
        <v>59</v>
      </c>
      <c r="M89" t="s">
        <v>32</v>
      </c>
    </row>
    <row r="90" spans="1:13" x14ac:dyDescent="0.3">
      <c r="A90" t="s">
        <v>394</v>
      </c>
      <c r="B90" s="4">
        <v>45296</v>
      </c>
      <c r="C90" s="6">
        <v>0.25833333333333336</v>
      </c>
      <c r="D90" t="s">
        <v>395</v>
      </c>
      <c r="E90" t="s">
        <v>39</v>
      </c>
      <c r="F90">
        <v>71</v>
      </c>
      <c r="G90" t="s">
        <v>40</v>
      </c>
      <c r="H90" t="s">
        <v>25</v>
      </c>
      <c r="I90" t="s">
        <v>41</v>
      </c>
      <c r="K90">
        <v>34</v>
      </c>
      <c r="L90" t="s">
        <v>82</v>
      </c>
      <c r="M90" t="s">
        <v>32</v>
      </c>
    </row>
    <row r="91" spans="1:13" x14ac:dyDescent="0.3">
      <c r="A91" t="s">
        <v>396</v>
      </c>
      <c r="B91" s="4">
        <v>45304</v>
      </c>
      <c r="C91" s="6">
        <v>0.9506944444444444</v>
      </c>
      <c r="D91" t="s">
        <v>397</v>
      </c>
      <c r="E91" t="s">
        <v>39</v>
      </c>
      <c r="F91">
        <v>65</v>
      </c>
      <c r="G91" t="s">
        <v>40</v>
      </c>
      <c r="H91" t="s">
        <v>25</v>
      </c>
      <c r="I91" t="s">
        <v>41</v>
      </c>
      <c r="K91">
        <v>59</v>
      </c>
      <c r="L91" t="s">
        <v>36</v>
      </c>
      <c r="M91" t="s">
        <v>32</v>
      </c>
    </row>
    <row r="92" spans="1:13" x14ac:dyDescent="0.3">
      <c r="A92" t="s">
        <v>398</v>
      </c>
      <c r="B92" s="4">
        <v>45317</v>
      </c>
      <c r="C92" s="6">
        <v>0.48125000000000001</v>
      </c>
      <c r="D92" t="s">
        <v>399</v>
      </c>
      <c r="E92" t="s">
        <v>39</v>
      </c>
      <c r="F92">
        <v>30</v>
      </c>
      <c r="G92" t="s">
        <v>40</v>
      </c>
      <c r="H92" t="s">
        <v>25</v>
      </c>
      <c r="I92" t="s">
        <v>41</v>
      </c>
      <c r="K92">
        <v>38</v>
      </c>
      <c r="L92" t="s">
        <v>46</v>
      </c>
      <c r="M92" t="s">
        <v>32</v>
      </c>
    </row>
    <row r="93" spans="1:13" x14ac:dyDescent="0.3">
      <c r="A93" t="s">
        <v>129</v>
      </c>
      <c r="B93" s="4">
        <v>45313</v>
      </c>
      <c r="C93" s="6">
        <v>0.54305555555555551</v>
      </c>
      <c r="D93" t="s">
        <v>130</v>
      </c>
      <c r="E93" t="s">
        <v>39</v>
      </c>
      <c r="F93">
        <v>8</v>
      </c>
      <c r="G93" t="s">
        <v>40</v>
      </c>
      <c r="H93" t="s">
        <v>25</v>
      </c>
      <c r="I93" t="s">
        <v>41</v>
      </c>
      <c r="K93">
        <v>45</v>
      </c>
      <c r="L93" t="s">
        <v>52</v>
      </c>
      <c r="M93" t="s">
        <v>32</v>
      </c>
    </row>
    <row r="94" spans="1:13" x14ac:dyDescent="0.3">
      <c r="A94" t="s">
        <v>400</v>
      </c>
      <c r="B94" s="4">
        <v>45296</v>
      </c>
      <c r="C94" s="6">
        <v>0.84583333333333333</v>
      </c>
      <c r="D94" t="s">
        <v>401</v>
      </c>
      <c r="E94" t="s">
        <v>39</v>
      </c>
      <c r="F94">
        <v>56</v>
      </c>
      <c r="G94" t="s">
        <v>45</v>
      </c>
      <c r="H94" t="s">
        <v>25</v>
      </c>
      <c r="I94" t="s">
        <v>26</v>
      </c>
      <c r="K94">
        <v>47</v>
      </c>
      <c r="L94" t="s">
        <v>59</v>
      </c>
      <c r="M94" t="s">
        <v>32</v>
      </c>
    </row>
    <row r="95" spans="1:13" x14ac:dyDescent="0.3">
      <c r="A95" t="s">
        <v>402</v>
      </c>
      <c r="B95" s="4">
        <v>45308</v>
      </c>
      <c r="C95" s="6">
        <v>0.68194444444444446</v>
      </c>
      <c r="D95" t="s">
        <v>403</v>
      </c>
      <c r="E95" t="s">
        <v>39</v>
      </c>
      <c r="F95">
        <v>51</v>
      </c>
      <c r="G95" t="s">
        <v>45</v>
      </c>
      <c r="H95" t="s">
        <v>25</v>
      </c>
      <c r="I95" t="s">
        <v>26</v>
      </c>
      <c r="K95">
        <v>58</v>
      </c>
      <c r="L95" t="s">
        <v>59</v>
      </c>
      <c r="M95" t="s">
        <v>32</v>
      </c>
    </row>
    <row r="96" spans="1:13" x14ac:dyDescent="0.3">
      <c r="A96" t="s">
        <v>131</v>
      </c>
      <c r="B96" s="4">
        <v>45316</v>
      </c>
      <c r="C96" s="6">
        <v>0.29166666666666669</v>
      </c>
      <c r="D96" t="s">
        <v>132</v>
      </c>
      <c r="E96" t="s">
        <v>39</v>
      </c>
      <c r="F96">
        <v>7</v>
      </c>
      <c r="G96" t="s">
        <v>45</v>
      </c>
      <c r="H96" t="s">
        <v>25</v>
      </c>
      <c r="I96" t="s">
        <v>26</v>
      </c>
      <c r="K96">
        <v>55</v>
      </c>
      <c r="L96" t="s">
        <v>52</v>
      </c>
      <c r="M96" t="s">
        <v>32</v>
      </c>
    </row>
    <row r="97" spans="1:13" x14ac:dyDescent="0.3">
      <c r="A97" t="s">
        <v>404</v>
      </c>
      <c r="B97" s="4">
        <v>45298</v>
      </c>
      <c r="C97" s="6">
        <v>0.42986111111111114</v>
      </c>
      <c r="D97" t="s">
        <v>405</v>
      </c>
      <c r="E97" t="s">
        <v>39</v>
      </c>
      <c r="F97">
        <v>64</v>
      </c>
      <c r="G97" t="s">
        <v>45</v>
      </c>
      <c r="H97" t="s">
        <v>25</v>
      </c>
      <c r="I97" t="s">
        <v>26</v>
      </c>
      <c r="K97">
        <v>31</v>
      </c>
      <c r="L97" t="s">
        <v>36</v>
      </c>
      <c r="M97" t="s">
        <v>32</v>
      </c>
    </row>
    <row r="98" spans="1:13" x14ac:dyDescent="0.3">
      <c r="A98" t="s">
        <v>406</v>
      </c>
      <c r="B98" s="4">
        <v>45314</v>
      </c>
      <c r="C98" s="6">
        <v>0.89166666666666672</v>
      </c>
      <c r="D98" t="s">
        <v>407</v>
      </c>
      <c r="E98" t="s">
        <v>39</v>
      </c>
      <c r="F98">
        <v>40</v>
      </c>
      <c r="G98" t="s">
        <v>45</v>
      </c>
      <c r="H98" t="s">
        <v>25</v>
      </c>
      <c r="I98" t="s">
        <v>26</v>
      </c>
      <c r="K98">
        <v>51</v>
      </c>
      <c r="L98" t="s">
        <v>31</v>
      </c>
      <c r="M98" t="s">
        <v>32</v>
      </c>
    </row>
    <row r="99" spans="1:13" x14ac:dyDescent="0.3">
      <c r="A99" t="s">
        <v>408</v>
      </c>
      <c r="B99" s="4">
        <v>45297</v>
      </c>
      <c r="C99" s="6">
        <v>4.027777777777778E-2</v>
      </c>
      <c r="D99" t="s">
        <v>409</v>
      </c>
      <c r="E99" t="s">
        <v>39</v>
      </c>
      <c r="F99">
        <v>32</v>
      </c>
      <c r="G99" t="s">
        <v>45</v>
      </c>
      <c r="H99" t="s">
        <v>25</v>
      </c>
      <c r="I99" t="s">
        <v>26</v>
      </c>
      <c r="K99">
        <v>57</v>
      </c>
      <c r="L99" t="s">
        <v>31</v>
      </c>
      <c r="M99" t="s">
        <v>32</v>
      </c>
    </row>
    <row r="100" spans="1:13" x14ac:dyDescent="0.3">
      <c r="A100" t="s">
        <v>410</v>
      </c>
      <c r="B100" s="4">
        <v>45297</v>
      </c>
      <c r="C100" s="6">
        <v>0.58611111111111114</v>
      </c>
      <c r="D100" t="s">
        <v>411</v>
      </c>
      <c r="E100" t="s">
        <v>39</v>
      </c>
      <c r="F100">
        <v>55</v>
      </c>
      <c r="G100" t="s">
        <v>45</v>
      </c>
      <c r="H100" t="s">
        <v>25</v>
      </c>
      <c r="I100" t="s">
        <v>41</v>
      </c>
      <c r="K100">
        <v>38</v>
      </c>
      <c r="L100" t="s">
        <v>59</v>
      </c>
      <c r="M100" t="s">
        <v>32</v>
      </c>
    </row>
    <row r="101" spans="1:13" x14ac:dyDescent="0.3">
      <c r="A101" t="s">
        <v>412</v>
      </c>
      <c r="B101" s="4">
        <v>45312</v>
      </c>
      <c r="C101" s="6">
        <v>0.39305555555555555</v>
      </c>
      <c r="D101" t="s">
        <v>413</v>
      </c>
      <c r="E101" t="s">
        <v>39</v>
      </c>
      <c r="F101">
        <v>13</v>
      </c>
      <c r="G101" t="s">
        <v>45</v>
      </c>
      <c r="H101" t="s">
        <v>25</v>
      </c>
      <c r="I101" t="s">
        <v>41</v>
      </c>
      <c r="K101">
        <v>41</v>
      </c>
      <c r="L101" t="s">
        <v>42</v>
      </c>
      <c r="M101" t="s">
        <v>32</v>
      </c>
    </row>
    <row r="102" spans="1:13" x14ac:dyDescent="0.3">
      <c r="A102" t="s">
        <v>414</v>
      </c>
      <c r="B102" s="4">
        <v>45317</v>
      </c>
      <c r="C102" s="6">
        <v>0.16597222222222222</v>
      </c>
      <c r="D102" t="s">
        <v>415</v>
      </c>
      <c r="E102" t="s">
        <v>39</v>
      </c>
      <c r="F102">
        <v>39</v>
      </c>
      <c r="G102" t="s">
        <v>45</v>
      </c>
      <c r="H102" t="s">
        <v>25</v>
      </c>
      <c r="I102" t="s">
        <v>41</v>
      </c>
      <c r="K102">
        <v>42</v>
      </c>
      <c r="L102" t="s">
        <v>31</v>
      </c>
      <c r="M102" t="s">
        <v>32</v>
      </c>
    </row>
    <row r="103" spans="1:13" x14ac:dyDescent="0.3">
      <c r="A103" t="s">
        <v>416</v>
      </c>
      <c r="B103" s="4">
        <v>45299</v>
      </c>
      <c r="C103" s="6">
        <v>0.99652777777777779</v>
      </c>
      <c r="D103" t="s">
        <v>417</v>
      </c>
      <c r="E103" t="s">
        <v>23</v>
      </c>
      <c r="F103">
        <v>37</v>
      </c>
      <c r="G103" t="s">
        <v>45</v>
      </c>
      <c r="H103" t="s">
        <v>25</v>
      </c>
      <c r="I103" t="s">
        <v>26</v>
      </c>
      <c r="K103">
        <v>49</v>
      </c>
      <c r="L103" t="s">
        <v>31</v>
      </c>
      <c r="M103" t="s">
        <v>32</v>
      </c>
    </row>
    <row r="104" spans="1:13" x14ac:dyDescent="0.3">
      <c r="A104" t="s">
        <v>418</v>
      </c>
      <c r="B104" s="4">
        <v>45310</v>
      </c>
      <c r="C104" s="6">
        <v>0.69097222222222221</v>
      </c>
      <c r="D104" t="s">
        <v>419</v>
      </c>
      <c r="E104" t="s">
        <v>23</v>
      </c>
      <c r="F104">
        <v>16</v>
      </c>
      <c r="G104" t="s">
        <v>45</v>
      </c>
      <c r="H104" t="s">
        <v>25</v>
      </c>
      <c r="I104" t="s">
        <v>26</v>
      </c>
      <c r="K104">
        <v>60</v>
      </c>
      <c r="L104" t="s">
        <v>42</v>
      </c>
      <c r="M104" t="s">
        <v>32</v>
      </c>
    </row>
    <row r="105" spans="1:13" x14ac:dyDescent="0.3">
      <c r="A105" t="s">
        <v>420</v>
      </c>
      <c r="B105" s="4">
        <v>45316</v>
      </c>
      <c r="C105" s="6">
        <v>0.37361111111111112</v>
      </c>
      <c r="D105" t="s">
        <v>421</v>
      </c>
      <c r="E105" t="s">
        <v>23</v>
      </c>
      <c r="F105">
        <v>12</v>
      </c>
      <c r="G105" t="s">
        <v>45</v>
      </c>
      <c r="H105" t="s">
        <v>25</v>
      </c>
      <c r="I105" t="s">
        <v>26</v>
      </c>
      <c r="K105">
        <v>50</v>
      </c>
      <c r="L105" t="s">
        <v>42</v>
      </c>
      <c r="M105" t="s">
        <v>32</v>
      </c>
    </row>
    <row r="106" spans="1:13" x14ac:dyDescent="0.3">
      <c r="A106" t="s">
        <v>422</v>
      </c>
      <c r="B106" s="4">
        <v>45322</v>
      </c>
      <c r="C106" s="6">
        <v>5.9027777777777776E-2</v>
      </c>
      <c r="D106" t="s">
        <v>423</v>
      </c>
      <c r="E106" t="s">
        <v>23</v>
      </c>
      <c r="F106">
        <v>41</v>
      </c>
      <c r="G106" t="s">
        <v>45</v>
      </c>
      <c r="H106" t="s">
        <v>25</v>
      </c>
      <c r="I106" t="s">
        <v>41</v>
      </c>
      <c r="K106">
        <v>46</v>
      </c>
      <c r="L106" t="s">
        <v>27</v>
      </c>
      <c r="M106" t="s">
        <v>32</v>
      </c>
    </row>
    <row r="107" spans="1:13" x14ac:dyDescent="0.3">
      <c r="A107" t="s">
        <v>424</v>
      </c>
      <c r="B107" s="4">
        <v>45306</v>
      </c>
      <c r="C107" s="6">
        <v>0.2</v>
      </c>
      <c r="D107" t="s">
        <v>425</v>
      </c>
      <c r="E107" t="s">
        <v>23</v>
      </c>
      <c r="F107">
        <v>12</v>
      </c>
      <c r="G107" t="s">
        <v>45</v>
      </c>
      <c r="H107" t="s">
        <v>25</v>
      </c>
      <c r="I107" t="s">
        <v>41</v>
      </c>
      <c r="K107">
        <v>43</v>
      </c>
      <c r="L107" t="s">
        <v>42</v>
      </c>
      <c r="M107" t="s">
        <v>32</v>
      </c>
    </row>
    <row r="108" spans="1:13" x14ac:dyDescent="0.3">
      <c r="A108" t="s">
        <v>426</v>
      </c>
      <c r="B108" s="4">
        <v>45299</v>
      </c>
      <c r="C108" s="6">
        <v>0.81805555555555554</v>
      </c>
      <c r="D108" t="s">
        <v>427</v>
      </c>
      <c r="E108" t="s">
        <v>23</v>
      </c>
      <c r="F108">
        <v>27</v>
      </c>
      <c r="G108" t="s">
        <v>57</v>
      </c>
      <c r="H108" t="s">
        <v>25</v>
      </c>
      <c r="I108" t="s">
        <v>26</v>
      </c>
      <c r="K108">
        <v>55</v>
      </c>
      <c r="L108" t="s">
        <v>46</v>
      </c>
      <c r="M108" t="s">
        <v>32</v>
      </c>
    </row>
    <row r="109" spans="1:13" x14ac:dyDescent="0.3">
      <c r="A109" t="s">
        <v>135</v>
      </c>
      <c r="B109" s="4">
        <v>45319</v>
      </c>
      <c r="C109" s="6">
        <v>0.11944444444444445</v>
      </c>
      <c r="D109" t="s">
        <v>136</v>
      </c>
      <c r="E109" t="s">
        <v>23</v>
      </c>
      <c r="F109">
        <v>5</v>
      </c>
      <c r="G109" t="s">
        <v>57</v>
      </c>
      <c r="H109" t="s">
        <v>25</v>
      </c>
      <c r="I109" t="s">
        <v>26</v>
      </c>
      <c r="K109">
        <v>50</v>
      </c>
      <c r="L109" t="s">
        <v>52</v>
      </c>
      <c r="M109" t="s">
        <v>32</v>
      </c>
    </row>
    <row r="110" spans="1:13" x14ac:dyDescent="0.3">
      <c r="A110" t="s">
        <v>428</v>
      </c>
      <c r="B110" s="4">
        <v>45320</v>
      </c>
      <c r="C110" s="6">
        <v>0.28888888888888886</v>
      </c>
      <c r="D110" t="s">
        <v>429</v>
      </c>
      <c r="E110" t="s">
        <v>23</v>
      </c>
      <c r="F110">
        <v>27</v>
      </c>
      <c r="G110" t="s">
        <v>57</v>
      </c>
      <c r="H110" t="s">
        <v>25</v>
      </c>
      <c r="I110" t="s">
        <v>26</v>
      </c>
      <c r="K110">
        <v>58</v>
      </c>
      <c r="L110" t="s">
        <v>46</v>
      </c>
      <c r="M110" t="s">
        <v>32</v>
      </c>
    </row>
    <row r="111" spans="1:13" x14ac:dyDescent="0.3">
      <c r="A111" t="s">
        <v>430</v>
      </c>
      <c r="B111" s="4">
        <v>45306</v>
      </c>
      <c r="C111" s="6">
        <v>0.60972222222222228</v>
      </c>
      <c r="D111" t="s">
        <v>431</v>
      </c>
      <c r="E111" t="s">
        <v>23</v>
      </c>
      <c r="F111">
        <v>51</v>
      </c>
      <c r="G111" t="s">
        <v>57</v>
      </c>
      <c r="H111" t="s">
        <v>25</v>
      </c>
      <c r="I111" t="s">
        <v>26</v>
      </c>
      <c r="K111">
        <v>38</v>
      </c>
      <c r="L111" t="s">
        <v>59</v>
      </c>
      <c r="M111" t="s">
        <v>32</v>
      </c>
    </row>
    <row r="112" spans="1:13" x14ac:dyDescent="0.3">
      <c r="A112" t="s">
        <v>432</v>
      </c>
      <c r="B112" s="4">
        <v>45293</v>
      </c>
      <c r="C112" s="6">
        <v>0.71250000000000002</v>
      </c>
      <c r="D112" t="s">
        <v>433</v>
      </c>
      <c r="E112" t="s">
        <v>23</v>
      </c>
      <c r="F112">
        <v>26</v>
      </c>
      <c r="G112" t="s">
        <v>57</v>
      </c>
      <c r="H112" t="s">
        <v>25</v>
      </c>
      <c r="I112" t="s">
        <v>26</v>
      </c>
      <c r="K112">
        <v>49</v>
      </c>
      <c r="L112" t="s">
        <v>46</v>
      </c>
      <c r="M112" t="s">
        <v>32</v>
      </c>
    </row>
    <row r="113" spans="1:13" x14ac:dyDescent="0.3">
      <c r="A113" t="s">
        <v>434</v>
      </c>
      <c r="B113" s="4">
        <v>45297</v>
      </c>
      <c r="C113" s="6">
        <v>0.86111111111111116</v>
      </c>
      <c r="D113" t="s">
        <v>435</v>
      </c>
      <c r="E113" t="s">
        <v>39</v>
      </c>
      <c r="F113">
        <v>34</v>
      </c>
      <c r="G113" t="s">
        <v>57</v>
      </c>
      <c r="H113" t="s">
        <v>25</v>
      </c>
      <c r="I113" t="s">
        <v>26</v>
      </c>
      <c r="K113">
        <v>40</v>
      </c>
      <c r="L113" t="s">
        <v>31</v>
      </c>
      <c r="M113" t="s">
        <v>32</v>
      </c>
    </row>
    <row r="114" spans="1:13" x14ac:dyDescent="0.3">
      <c r="A114" t="s">
        <v>436</v>
      </c>
      <c r="B114" s="4">
        <v>45292</v>
      </c>
      <c r="C114" s="6">
        <v>0.81736111111111109</v>
      </c>
      <c r="D114" t="s">
        <v>437</v>
      </c>
      <c r="E114" t="s">
        <v>39</v>
      </c>
      <c r="F114">
        <v>37</v>
      </c>
      <c r="G114" t="s">
        <v>57</v>
      </c>
      <c r="H114" t="s">
        <v>25</v>
      </c>
      <c r="I114" t="s">
        <v>26</v>
      </c>
      <c r="K114">
        <v>55</v>
      </c>
      <c r="L114" t="s">
        <v>31</v>
      </c>
      <c r="M114" t="s">
        <v>32</v>
      </c>
    </row>
    <row r="115" spans="1:13" x14ac:dyDescent="0.3">
      <c r="A115" t="s">
        <v>438</v>
      </c>
      <c r="B115" s="4">
        <v>45304</v>
      </c>
      <c r="C115" s="6">
        <v>0.72847222222222219</v>
      </c>
      <c r="D115" t="s">
        <v>439</v>
      </c>
      <c r="E115" t="s">
        <v>39</v>
      </c>
      <c r="F115">
        <v>24</v>
      </c>
      <c r="G115" t="s">
        <v>57</v>
      </c>
      <c r="H115" t="s">
        <v>25</v>
      </c>
      <c r="I115" t="s">
        <v>26</v>
      </c>
      <c r="K115">
        <v>51</v>
      </c>
      <c r="L115" t="s">
        <v>46</v>
      </c>
      <c r="M115" t="s">
        <v>32</v>
      </c>
    </row>
    <row r="116" spans="1:13" x14ac:dyDescent="0.3">
      <c r="A116" t="s">
        <v>440</v>
      </c>
      <c r="B116" s="4">
        <v>45301</v>
      </c>
      <c r="C116" s="6">
        <v>0.56041666666666667</v>
      </c>
      <c r="D116" t="s">
        <v>441</v>
      </c>
      <c r="E116" t="s">
        <v>39</v>
      </c>
      <c r="F116">
        <v>26</v>
      </c>
      <c r="G116" t="s">
        <v>57</v>
      </c>
      <c r="H116" t="s">
        <v>25</v>
      </c>
      <c r="I116" t="s">
        <v>26</v>
      </c>
      <c r="K116">
        <v>42</v>
      </c>
      <c r="L116" t="s">
        <v>46</v>
      </c>
      <c r="M116" t="s">
        <v>32</v>
      </c>
    </row>
    <row r="117" spans="1:13" x14ac:dyDescent="0.3">
      <c r="A117" t="s">
        <v>442</v>
      </c>
      <c r="B117" s="4">
        <v>45311</v>
      </c>
      <c r="C117" s="6">
        <v>0.49583333333333335</v>
      </c>
      <c r="D117" t="s">
        <v>443</v>
      </c>
      <c r="E117" t="s">
        <v>23</v>
      </c>
      <c r="F117">
        <v>40</v>
      </c>
      <c r="G117" t="s">
        <v>57</v>
      </c>
      <c r="H117" t="s">
        <v>25</v>
      </c>
      <c r="I117" t="s">
        <v>41</v>
      </c>
      <c r="K117">
        <v>32</v>
      </c>
      <c r="L117" t="s">
        <v>31</v>
      </c>
      <c r="M117" t="s">
        <v>32</v>
      </c>
    </row>
    <row r="118" spans="1:13" x14ac:dyDescent="0.3">
      <c r="A118" t="s">
        <v>444</v>
      </c>
      <c r="B118" s="4">
        <v>45310</v>
      </c>
      <c r="C118" s="6">
        <v>0.92986111111111114</v>
      </c>
      <c r="D118" t="s">
        <v>445</v>
      </c>
      <c r="E118" t="s">
        <v>23</v>
      </c>
      <c r="F118">
        <v>73</v>
      </c>
      <c r="G118" t="s">
        <v>57</v>
      </c>
      <c r="H118" t="s">
        <v>25</v>
      </c>
      <c r="I118" t="s">
        <v>41</v>
      </c>
      <c r="K118">
        <v>43</v>
      </c>
      <c r="L118" t="s">
        <v>82</v>
      </c>
      <c r="M118" t="s">
        <v>32</v>
      </c>
    </row>
    <row r="119" spans="1:13" x14ac:dyDescent="0.3">
      <c r="A119" t="s">
        <v>446</v>
      </c>
      <c r="B119" s="4">
        <v>45320</v>
      </c>
      <c r="C119" s="6">
        <v>0.88611111111111107</v>
      </c>
      <c r="D119" t="s">
        <v>447</v>
      </c>
      <c r="E119" t="s">
        <v>23</v>
      </c>
      <c r="F119">
        <v>25</v>
      </c>
      <c r="G119" t="s">
        <v>57</v>
      </c>
      <c r="H119" t="s">
        <v>25</v>
      </c>
      <c r="I119" t="s">
        <v>41</v>
      </c>
      <c r="K119">
        <v>42</v>
      </c>
      <c r="L119" t="s">
        <v>46</v>
      </c>
      <c r="M119" t="s">
        <v>32</v>
      </c>
    </row>
    <row r="120" spans="1:13" x14ac:dyDescent="0.3">
      <c r="A120" t="s">
        <v>448</v>
      </c>
      <c r="B120" s="4">
        <v>45311</v>
      </c>
      <c r="C120" s="6">
        <v>0.99444444444444446</v>
      </c>
      <c r="D120" t="s">
        <v>449</v>
      </c>
      <c r="E120" t="s">
        <v>23</v>
      </c>
      <c r="F120">
        <v>74</v>
      </c>
      <c r="G120" t="s">
        <v>57</v>
      </c>
      <c r="H120" t="s">
        <v>25</v>
      </c>
      <c r="I120" t="s">
        <v>41</v>
      </c>
      <c r="K120">
        <v>60</v>
      </c>
      <c r="L120" t="s">
        <v>82</v>
      </c>
      <c r="M120" t="s">
        <v>32</v>
      </c>
    </row>
    <row r="121" spans="1:13" x14ac:dyDescent="0.3">
      <c r="A121" t="s">
        <v>450</v>
      </c>
      <c r="B121" s="4">
        <v>45311</v>
      </c>
      <c r="C121" s="6">
        <v>0.12847222222222221</v>
      </c>
      <c r="D121" t="s">
        <v>451</v>
      </c>
      <c r="E121" t="s">
        <v>39</v>
      </c>
      <c r="F121">
        <v>65</v>
      </c>
      <c r="G121" t="s">
        <v>57</v>
      </c>
      <c r="H121" t="s">
        <v>25</v>
      </c>
      <c r="I121" t="s">
        <v>41</v>
      </c>
      <c r="K121">
        <v>42</v>
      </c>
      <c r="L121" t="s">
        <v>36</v>
      </c>
      <c r="M121" t="s">
        <v>32</v>
      </c>
    </row>
    <row r="122" spans="1:13" x14ac:dyDescent="0.3">
      <c r="A122" t="s">
        <v>452</v>
      </c>
      <c r="B122" s="4">
        <v>45292</v>
      </c>
      <c r="C122" s="6">
        <v>0.73124999999999996</v>
      </c>
      <c r="D122" t="s">
        <v>453</v>
      </c>
      <c r="E122" t="s">
        <v>39</v>
      </c>
      <c r="F122">
        <v>59</v>
      </c>
      <c r="G122" t="s">
        <v>57</v>
      </c>
      <c r="H122" t="s">
        <v>25</v>
      </c>
      <c r="I122" t="s">
        <v>41</v>
      </c>
      <c r="K122">
        <v>47</v>
      </c>
      <c r="L122" t="s">
        <v>59</v>
      </c>
      <c r="M122" t="s">
        <v>32</v>
      </c>
    </row>
    <row r="123" spans="1:13" x14ac:dyDescent="0.3">
      <c r="A123" t="s">
        <v>454</v>
      </c>
      <c r="B123" s="4">
        <v>45294</v>
      </c>
      <c r="C123" s="6">
        <v>0.93819444444444444</v>
      </c>
      <c r="D123" t="s">
        <v>455</v>
      </c>
      <c r="E123" t="s">
        <v>39</v>
      </c>
      <c r="F123">
        <v>22</v>
      </c>
      <c r="G123" t="s">
        <v>57</v>
      </c>
      <c r="H123" t="s">
        <v>25</v>
      </c>
      <c r="I123" t="s">
        <v>41</v>
      </c>
      <c r="K123">
        <v>38</v>
      </c>
      <c r="L123" t="s">
        <v>46</v>
      </c>
      <c r="M123" t="s">
        <v>32</v>
      </c>
    </row>
    <row r="124" spans="1:13" x14ac:dyDescent="0.3">
      <c r="A124" t="s">
        <v>139</v>
      </c>
      <c r="B124" s="4">
        <v>45297</v>
      </c>
      <c r="C124" s="6">
        <v>0.68819444444444444</v>
      </c>
      <c r="D124" t="s">
        <v>140</v>
      </c>
      <c r="E124" t="s">
        <v>39</v>
      </c>
      <c r="F124">
        <v>3</v>
      </c>
      <c r="G124" t="s">
        <v>57</v>
      </c>
      <c r="H124" t="s">
        <v>25</v>
      </c>
      <c r="I124" t="s">
        <v>41</v>
      </c>
      <c r="K124">
        <v>38</v>
      </c>
      <c r="L124" t="s">
        <v>52</v>
      </c>
      <c r="M124" t="s">
        <v>32</v>
      </c>
    </row>
    <row r="125" spans="1:13" x14ac:dyDescent="0.3">
      <c r="A125" t="s">
        <v>141</v>
      </c>
      <c r="B125" s="4">
        <v>45313</v>
      </c>
      <c r="C125" s="6">
        <v>0.26805555555555555</v>
      </c>
      <c r="D125" t="s">
        <v>142</v>
      </c>
      <c r="E125" t="s">
        <v>39</v>
      </c>
      <c r="F125">
        <v>2</v>
      </c>
      <c r="G125" t="s">
        <v>57</v>
      </c>
      <c r="H125" t="s">
        <v>25</v>
      </c>
      <c r="I125" t="s">
        <v>41</v>
      </c>
      <c r="K125">
        <v>44</v>
      </c>
      <c r="L125" t="s">
        <v>52</v>
      </c>
      <c r="M125" t="s">
        <v>32</v>
      </c>
    </row>
    <row r="126" spans="1:13" x14ac:dyDescent="0.3">
      <c r="A126" t="s">
        <v>456</v>
      </c>
      <c r="B126" s="4">
        <v>45312</v>
      </c>
      <c r="C126" s="6">
        <v>0.14652777777777778</v>
      </c>
      <c r="D126" t="s">
        <v>457</v>
      </c>
      <c r="E126" t="s">
        <v>39</v>
      </c>
      <c r="F126">
        <v>74</v>
      </c>
      <c r="G126" t="s">
        <v>57</v>
      </c>
      <c r="H126" t="s">
        <v>25</v>
      </c>
      <c r="I126" t="s">
        <v>41</v>
      </c>
      <c r="K126">
        <v>51</v>
      </c>
      <c r="L126" t="s">
        <v>82</v>
      </c>
      <c r="M126" t="s">
        <v>32</v>
      </c>
    </row>
    <row r="127" spans="1:13" x14ac:dyDescent="0.3">
      <c r="A127" t="s">
        <v>458</v>
      </c>
      <c r="B127" s="4">
        <v>45322</v>
      </c>
      <c r="C127" s="6">
        <v>4.6527777777777779E-2</v>
      </c>
      <c r="D127" t="s">
        <v>459</v>
      </c>
      <c r="E127" t="s">
        <v>23</v>
      </c>
      <c r="F127">
        <v>49</v>
      </c>
      <c r="G127" t="s">
        <v>75</v>
      </c>
      <c r="H127" t="s">
        <v>25</v>
      </c>
      <c r="I127" t="s">
        <v>41</v>
      </c>
      <c r="K127">
        <v>41</v>
      </c>
      <c r="L127" t="s">
        <v>27</v>
      </c>
      <c r="M127" t="s">
        <v>32</v>
      </c>
    </row>
    <row r="128" spans="1:13" x14ac:dyDescent="0.3">
      <c r="A128" t="s">
        <v>460</v>
      </c>
      <c r="B128" s="4">
        <v>45296</v>
      </c>
      <c r="C128" s="6">
        <v>0.72222222222222221</v>
      </c>
      <c r="D128" t="s">
        <v>461</v>
      </c>
      <c r="E128" t="s">
        <v>23</v>
      </c>
      <c r="F128">
        <v>13</v>
      </c>
      <c r="G128" t="s">
        <v>75</v>
      </c>
      <c r="H128" t="s">
        <v>25</v>
      </c>
      <c r="I128" t="s">
        <v>41</v>
      </c>
      <c r="K128">
        <v>44</v>
      </c>
      <c r="L128" t="s">
        <v>42</v>
      </c>
      <c r="M128" t="s">
        <v>32</v>
      </c>
    </row>
    <row r="129" spans="1:13" x14ac:dyDescent="0.3">
      <c r="A129" t="s">
        <v>143</v>
      </c>
      <c r="B129" s="4">
        <v>45311</v>
      </c>
      <c r="C129" s="6">
        <v>0.44374999999999998</v>
      </c>
      <c r="D129" t="s">
        <v>144</v>
      </c>
      <c r="E129" t="s">
        <v>23</v>
      </c>
      <c r="F129">
        <v>1</v>
      </c>
      <c r="G129" t="s">
        <v>75</v>
      </c>
      <c r="H129" t="s">
        <v>25</v>
      </c>
      <c r="I129" t="s">
        <v>41</v>
      </c>
      <c r="K129">
        <v>54</v>
      </c>
      <c r="L129" t="s">
        <v>52</v>
      </c>
      <c r="M129" t="s">
        <v>32</v>
      </c>
    </row>
    <row r="130" spans="1:13" x14ac:dyDescent="0.3">
      <c r="A130" t="s">
        <v>462</v>
      </c>
      <c r="B130" s="4">
        <v>45304</v>
      </c>
      <c r="C130" s="6">
        <v>0.37430555555555556</v>
      </c>
      <c r="D130" t="s">
        <v>463</v>
      </c>
      <c r="E130" t="s">
        <v>39</v>
      </c>
      <c r="F130">
        <v>65</v>
      </c>
      <c r="G130" t="s">
        <v>75</v>
      </c>
      <c r="H130" t="s">
        <v>25</v>
      </c>
      <c r="I130" t="s">
        <v>41</v>
      </c>
      <c r="K130">
        <v>37</v>
      </c>
      <c r="L130" t="s">
        <v>36</v>
      </c>
      <c r="M130" t="s">
        <v>32</v>
      </c>
    </row>
    <row r="131" spans="1:13" x14ac:dyDescent="0.3">
      <c r="A131" t="s">
        <v>464</v>
      </c>
      <c r="B131" s="4">
        <v>45309</v>
      </c>
      <c r="C131" s="6">
        <v>0.84375</v>
      </c>
      <c r="D131" t="s">
        <v>465</v>
      </c>
      <c r="E131" t="s">
        <v>23</v>
      </c>
      <c r="F131">
        <v>37</v>
      </c>
      <c r="G131" t="s">
        <v>75</v>
      </c>
      <c r="H131" t="s">
        <v>25</v>
      </c>
      <c r="I131" t="s">
        <v>26</v>
      </c>
      <c r="K131">
        <v>39</v>
      </c>
      <c r="L131" t="s">
        <v>31</v>
      </c>
      <c r="M131" t="s">
        <v>32</v>
      </c>
    </row>
    <row r="132" spans="1:13" x14ac:dyDescent="0.3">
      <c r="A132" t="s">
        <v>466</v>
      </c>
      <c r="B132" s="4">
        <v>45308</v>
      </c>
      <c r="C132" s="6">
        <v>0.70277777777777772</v>
      </c>
      <c r="D132" t="s">
        <v>467</v>
      </c>
      <c r="E132" t="s">
        <v>23</v>
      </c>
      <c r="F132">
        <v>69</v>
      </c>
      <c r="G132" t="s">
        <v>75</v>
      </c>
      <c r="H132" t="s">
        <v>25</v>
      </c>
      <c r="I132" t="s">
        <v>26</v>
      </c>
      <c r="K132">
        <v>31</v>
      </c>
      <c r="L132" t="s">
        <v>36</v>
      </c>
      <c r="M132" t="s">
        <v>32</v>
      </c>
    </row>
    <row r="133" spans="1:13" x14ac:dyDescent="0.3">
      <c r="A133" t="s">
        <v>145</v>
      </c>
      <c r="B133" s="4">
        <v>45296</v>
      </c>
      <c r="C133" s="6">
        <v>0.98750000000000004</v>
      </c>
      <c r="D133" t="s">
        <v>146</v>
      </c>
      <c r="E133" t="s">
        <v>39</v>
      </c>
      <c r="F133">
        <v>8</v>
      </c>
      <c r="G133" t="s">
        <v>75</v>
      </c>
      <c r="H133" t="s">
        <v>25</v>
      </c>
      <c r="I133" t="s">
        <v>26</v>
      </c>
      <c r="K133">
        <v>56</v>
      </c>
      <c r="L133" t="s">
        <v>52</v>
      </c>
      <c r="M133" t="s">
        <v>32</v>
      </c>
    </row>
    <row r="134" spans="1:13" x14ac:dyDescent="0.3">
      <c r="A134" t="s">
        <v>468</v>
      </c>
      <c r="B134" s="4">
        <v>45299</v>
      </c>
      <c r="C134" s="6">
        <v>0.57708333333333328</v>
      </c>
      <c r="D134" t="s">
        <v>469</v>
      </c>
      <c r="E134" t="s">
        <v>23</v>
      </c>
      <c r="F134">
        <v>29</v>
      </c>
      <c r="G134" t="s">
        <v>149</v>
      </c>
      <c r="H134" t="s">
        <v>25</v>
      </c>
      <c r="I134" t="s">
        <v>41</v>
      </c>
      <c r="K134">
        <v>57</v>
      </c>
      <c r="L134" t="s">
        <v>46</v>
      </c>
      <c r="M134" t="s">
        <v>32</v>
      </c>
    </row>
    <row r="135" spans="1:13" x14ac:dyDescent="0.3">
      <c r="A135" t="s">
        <v>470</v>
      </c>
      <c r="B135" s="4">
        <v>45299</v>
      </c>
      <c r="C135" s="6">
        <v>0.93194444444444446</v>
      </c>
      <c r="D135" t="s">
        <v>471</v>
      </c>
      <c r="E135" t="s">
        <v>39</v>
      </c>
      <c r="F135">
        <v>61</v>
      </c>
      <c r="G135" t="s">
        <v>149</v>
      </c>
      <c r="H135" t="s">
        <v>25</v>
      </c>
      <c r="I135" t="s">
        <v>41</v>
      </c>
      <c r="K135">
        <v>52</v>
      </c>
      <c r="L135" t="s">
        <v>36</v>
      </c>
      <c r="M135" t="s">
        <v>32</v>
      </c>
    </row>
    <row r="136" spans="1:13" x14ac:dyDescent="0.3">
      <c r="A136" t="s">
        <v>472</v>
      </c>
      <c r="B136" s="4">
        <v>45300</v>
      </c>
      <c r="C136" s="6">
        <v>0.5493055555555556</v>
      </c>
      <c r="D136" t="s">
        <v>473</v>
      </c>
      <c r="E136" t="s">
        <v>23</v>
      </c>
      <c r="F136">
        <v>27</v>
      </c>
      <c r="G136" t="s">
        <v>149</v>
      </c>
      <c r="H136" t="s">
        <v>25</v>
      </c>
      <c r="I136" t="s">
        <v>26</v>
      </c>
      <c r="K136">
        <v>38</v>
      </c>
      <c r="L136" t="s">
        <v>46</v>
      </c>
      <c r="M136" t="s">
        <v>32</v>
      </c>
    </row>
    <row r="137" spans="1:13" x14ac:dyDescent="0.3">
      <c r="A137" t="s">
        <v>474</v>
      </c>
      <c r="B137" s="4">
        <v>45314</v>
      </c>
      <c r="C137" s="6">
        <v>0.47638888888888886</v>
      </c>
      <c r="D137" t="s">
        <v>475</v>
      </c>
      <c r="E137" t="s">
        <v>23</v>
      </c>
      <c r="F137">
        <v>15</v>
      </c>
      <c r="G137" t="s">
        <v>149</v>
      </c>
      <c r="H137" t="s">
        <v>25</v>
      </c>
      <c r="I137" t="s">
        <v>26</v>
      </c>
      <c r="K137">
        <v>52</v>
      </c>
      <c r="L137" t="s">
        <v>42</v>
      </c>
      <c r="M137" t="s">
        <v>32</v>
      </c>
    </row>
    <row r="138" spans="1:13" x14ac:dyDescent="0.3">
      <c r="A138" t="s">
        <v>147</v>
      </c>
      <c r="B138" s="4">
        <v>45320</v>
      </c>
      <c r="C138" s="6">
        <v>0.25347222222222221</v>
      </c>
      <c r="D138" t="s">
        <v>148</v>
      </c>
      <c r="E138" t="s">
        <v>39</v>
      </c>
      <c r="F138">
        <v>9</v>
      </c>
      <c r="G138" t="s">
        <v>149</v>
      </c>
      <c r="H138" t="s">
        <v>25</v>
      </c>
      <c r="I138" t="s">
        <v>26</v>
      </c>
      <c r="K138">
        <v>44</v>
      </c>
      <c r="L138" t="s">
        <v>52</v>
      </c>
      <c r="M138" t="s">
        <v>32</v>
      </c>
    </row>
    <row r="139" spans="1:13" x14ac:dyDescent="0.3">
      <c r="A139" t="s">
        <v>476</v>
      </c>
      <c r="B139" s="4">
        <v>45309</v>
      </c>
      <c r="C139" s="6">
        <v>0.72222222222222221</v>
      </c>
      <c r="D139" t="s">
        <v>477</v>
      </c>
      <c r="E139" t="s">
        <v>39</v>
      </c>
      <c r="F139">
        <v>35</v>
      </c>
      <c r="G139" t="s">
        <v>149</v>
      </c>
      <c r="H139" t="s">
        <v>25</v>
      </c>
      <c r="I139" t="s">
        <v>26</v>
      </c>
      <c r="K139">
        <v>58</v>
      </c>
      <c r="L139" t="s">
        <v>31</v>
      </c>
      <c r="M139" t="s">
        <v>32</v>
      </c>
    </row>
    <row r="140" spans="1:13" x14ac:dyDescent="0.3">
      <c r="A140" t="s">
        <v>478</v>
      </c>
      <c r="B140" s="4">
        <v>45303</v>
      </c>
      <c r="C140" s="6">
        <v>0.28888888888888886</v>
      </c>
      <c r="D140" t="s">
        <v>479</v>
      </c>
      <c r="E140" t="s">
        <v>39</v>
      </c>
      <c r="F140">
        <v>68</v>
      </c>
      <c r="G140" t="s">
        <v>149</v>
      </c>
      <c r="H140" t="s">
        <v>51</v>
      </c>
      <c r="I140" t="s">
        <v>26</v>
      </c>
      <c r="K140">
        <v>33</v>
      </c>
      <c r="L140" t="s">
        <v>36</v>
      </c>
      <c r="M140" t="s">
        <v>32</v>
      </c>
    </row>
    <row r="141" spans="1:13" x14ac:dyDescent="0.3">
      <c r="A141" t="s">
        <v>480</v>
      </c>
      <c r="B141" s="4">
        <v>45310</v>
      </c>
      <c r="C141" s="6">
        <v>0.9506944444444444</v>
      </c>
      <c r="D141" t="s">
        <v>481</v>
      </c>
      <c r="E141" t="s">
        <v>23</v>
      </c>
      <c r="F141">
        <v>64</v>
      </c>
      <c r="G141" t="s">
        <v>149</v>
      </c>
      <c r="H141" t="s">
        <v>51</v>
      </c>
      <c r="I141" t="s">
        <v>41</v>
      </c>
      <c r="K141">
        <v>47</v>
      </c>
      <c r="L141" t="s">
        <v>36</v>
      </c>
      <c r="M141" t="s">
        <v>32</v>
      </c>
    </row>
    <row r="142" spans="1:13" x14ac:dyDescent="0.3">
      <c r="A142" t="s">
        <v>482</v>
      </c>
      <c r="B142" s="4">
        <v>45293</v>
      </c>
      <c r="C142" s="6">
        <v>0.74027777777777781</v>
      </c>
      <c r="D142" t="s">
        <v>483</v>
      </c>
      <c r="E142" t="s">
        <v>39</v>
      </c>
      <c r="F142">
        <v>47</v>
      </c>
      <c r="G142" t="s">
        <v>149</v>
      </c>
      <c r="H142" t="s">
        <v>51</v>
      </c>
      <c r="I142" t="s">
        <v>26</v>
      </c>
      <c r="K142">
        <v>32</v>
      </c>
      <c r="L142" t="s">
        <v>27</v>
      </c>
      <c r="M142" t="s">
        <v>32</v>
      </c>
    </row>
    <row r="143" spans="1:13" x14ac:dyDescent="0.3">
      <c r="A143" t="s">
        <v>484</v>
      </c>
      <c r="B143" s="4">
        <v>45308</v>
      </c>
      <c r="C143" s="6">
        <v>0.98819444444444449</v>
      </c>
      <c r="D143" t="s">
        <v>485</v>
      </c>
      <c r="E143" t="s">
        <v>39</v>
      </c>
      <c r="F143">
        <v>55</v>
      </c>
      <c r="G143" t="s">
        <v>75</v>
      </c>
      <c r="H143" t="s">
        <v>51</v>
      </c>
      <c r="I143" t="s">
        <v>41</v>
      </c>
      <c r="K143">
        <v>42</v>
      </c>
      <c r="L143" t="s">
        <v>59</v>
      </c>
      <c r="M143" t="s">
        <v>32</v>
      </c>
    </row>
    <row r="144" spans="1:13" x14ac:dyDescent="0.3">
      <c r="A144" t="s">
        <v>486</v>
      </c>
      <c r="B144" s="4">
        <v>45318</v>
      </c>
      <c r="C144" s="6">
        <v>0.41319444444444442</v>
      </c>
      <c r="D144" t="s">
        <v>487</v>
      </c>
      <c r="E144" t="s">
        <v>39</v>
      </c>
      <c r="F144">
        <v>65</v>
      </c>
      <c r="G144" t="s">
        <v>75</v>
      </c>
      <c r="H144" t="s">
        <v>51</v>
      </c>
      <c r="I144" t="s">
        <v>26</v>
      </c>
      <c r="K144">
        <v>51</v>
      </c>
      <c r="L144" t="s">
        <v>36</v>
      </c>
      <c r="M144" t="s">
        <v>32</v>
      </c>
    </row>
    <row r="145" spans="1:13" x14ac:dyDescent="0.3">
      <c r="A145" t="s">
        <v>488</v>
      </c>
      <c r="B145" s="4">
        <v>45309</v>
      </c>
      <c r="C145" s="6">
        <v>0.73472222222222228</v>
      </c>
      <c r="D145" t="s">
        <v>489</v>
      </c>
      <c r="E145" t="s">
        <v>23</v>
      </c>
      <c r="F145">
        <v>74</v>
      </c>
      <c r="G145" t="s">
        <v>45</v>
      </c>
      <c r="H145" t="s">
        <v>51</v>
      </c>
      <c r="I145" t="s">
        <v>26</v>
      </c>
      <c r="K145">
        <v>44</v>
      </c>
      <c r="L145" t="s">
        <v>82</v>
      </c>
      <c r="M145" t="s">
        <v>32</v>
      </c>
    </row>
    <row r="146" spans="1:13" x14ac:dyDescent="0.3">
      <c r="A146" t="s">
        <v>490</v>
      </c>
      <c r="B146" s="4">
        <v>45303</v>
      </c>
      <c r="C146" s="6">
        <v>0.73888888888888893</v>
      </c>
      <c r="D146" t="s">
        <v>491</v>
      </c>
      <c r="E146" t="s">
        <v>23</v>
      </c>
      <c r="F146">
        <v>75</v>
      </c>
      <c r="G146" t="s">
        <v>45</v>
      </c>
      <c r="H146" t="s">
        <v>51</v>
      </c>
      <c r="I146" t="s">
        <v>26</v>
      </c>
      <c r="K146">
        <v>41</v>
      </c>
      <c r="L146" t="s">
        <v>82</v>
      </c>
      <c r="M146" t="s">
        <v>32</v>
      </c>
    </row>
    <row r="147" spans="1:13" x14ac:dyDescent="0.3">
      <c r="A147" t="s">
        <v>154</v>
      </c>
      <c r="B147" s="4">
        <v>45315</v>
      </c>
      <c r="C147" s="6">
        <v>0.13333333333333333</v>
      </c>
      <c r="D147" t="s">
        <v>155</v>
      </c>
      <c r="E147" t="s">
        <v>39</v>
      </c>
      <c r="F147">
        <v>2</v>
      </c>
      <c r="G147" t="s">
        <v>45</v>
      </c>
      <c r="H147" t="s">
        <v>51</v>
      </c>
      <c r="I147" t="s">
        <v>41</v>
      </c>
      <c r="K147">
        <v>33</v>
      </c>
      <c r="L147" t="s">
        <v>52</v>
      </c>
      <c r="M147" t="s">
        <v>32</v>
      </c>
    </row>
    <row r="148" spans="1:13" x14ac:dyDescent="0.3">
      <c r="A148" t="s">
        <v>492</v>
      </c>
      <c r="B148" s="4">
        <v>45317</v>
      </c>
      <c r="C148" s="6">
        <v>0.2590277777777778</v>
      </c>
      <c r="D148" t="s">
        <v>493</v>
      </c>
      <c r="E148" t="s">
        <v>23</v>
      </c>
      <c r="F148">
        <v>60</v>
      </c>
      <c r="G148" t="s">
        <v>45</v>
      </c>
      <c r="H148" t="s">
        <v>51</v>
      </c>
      <c r="I148" t="s">
        <v>41</v>
      </c>
      <c r="K148">
        <v>51</v>
      </c>
      <c r="L148" t="s">
        <v>59</v>
      </c>
      <c r="M148" t="s">
        <v>32</v>
      </c>
    </row>
    <row r="149" spans="1:13" x14ac:dyDescent="0.3">
      <c r="A149" t="s">
        <v>494</v>
      </c>
      <c r="B149" s="4">
        <v>45308</v>
      </c>
      <c r="C149" s="6">
        <v>0.4826388888888889</v>
      </c>
      <c r="D149" t="s">
        <v>495</v>
      </c>
      <c r="E149" t="s">
        <v>23</v>
      </c>
      <c r="F149">
        <v>52</v>
      </c>
      <c r="G149" t="s">
        <v>45</v>
      </c>
      <c r="H149" t="s">
        <v>51</v>
      </c>
      <c r="I149" t="s">
        <v>41</v>
      </c>
      <c r="K149">
        <v>60</v>
      </c>
      <c r="L149" t="s">
        <v>59</v>
      </c>
      <c r="M149" t="s">
        <v>32</v>
      </c>
    </row>
    <row r="150" spans="1:13" x14ac:dyDescent="0.3">
      <c r="A150" t="s">
        <v>496</v>
      </c>
      <c r="B150" s="4">
        <v>45321</v>
      </c>
      <c r="C150" s="6">
        <v>0.87708333333333333</v>
      </c>
      <c r="D150" t="s">
        <v>497</v>
      </c>
      <c r="E150" t="s">
        <v>39</v>
      </c>
      <c r="F150">
        <v>17</v>
      </c>
      <c r="G150" t="s">
        <v>45</v>
      </c>
      <c r="H150" t="s">
        <v>51</v>
      </c>
      <c r="I150" t="s">
        <v>41</v>
      </c>
      <c r="K150">
        <v>46</v>
      </c>
      <c r="L150" t="s">
        <v>42</v>
      </c>
      <c r="M150" t="s">
        <v>32</v>
      </c>
    </row>
    <row r="151" spans="1:13" x14ac:dyDescent="0.3">
      <c r="A151" t="s">
        <v>498</v>
      </c>
      <c r="B151" s="4">
        <v>45306</v>
      </c>
      <c r="C151" s="6">
        <v>0.54861111111111116</v>
      </c>
      <c r="D151" t="s">
        <v>499</v>
      </c>
      <c r="E151" t="s">
        <v>23</v>
      </c>
      <c r="F151">
        <v>68</v>
      </c>
      <c r="G151" t="s">
        <v>57</v>
      </c>
      <c r="H151" t="s">
        <v>51</v>
      </c>
      <c r="I151" t="s">
        <v>26</v>
      </c>
      <c r="K151">
        <v>36</v>
      </c>
      <c r="L151" t="s">
        <v>36</v>
      </c>
      <c r="M151" t="s">
        <v>32</v>
      </c>
    </row>
    <row r="152" spans="1:13" x14ac:dyDescent="0.3">
      <c r="A152" t="s">
        <v>500</v>
      </c>
      <c r="B152" s="4">
        <v>45295</v>
      </c>
      <c r="C152" s="6">
        <v>4.1666666666666664E-2</v>
      </c>
      <c r="D152" t="s">
        <v>501</v>
      </c>
      <c r="E152" t="s">
        <v>23</v>
      </c>
      <c r="F152">
        <v>67</v>
      </c>
      <c r="G152" t="s">
        <v>57</v>
      </c>
      <c r="H152" t="s">
        <v>51</v>
      </c>
      <c r="I152" t="s">
        <v>41</v>
      </c>
      <c r="K152">
        <v>40</v>
      </c>
      <c r="L152" t="s">
        <v>36</v>
      </c>
      <c r="M152" t="s">
        <v>32</v>
      </c>
    </row>
    <row r="153" spans="1:13" x14ac:dyDescent="0.3">
      <c r="A153" t="s">
        <v>158</v>
      </c>
      <c r="B153" s="4">
        <v>45322</v>
      </c>
      <c r="C153" s="6">
        <v>0.37708333333333333</v>
      </c>
      <c r="D153" t="s">
        <v>159</v>
      </c>
      <c r="E153" t="s">
        <v>39</v>
      </c>
      <c r="F153">
        <v>4</v>
      </c>
      <c r="G153" t="s">
        <v>57</v>
      </c>
      <c r="H153" t="s">
        <v>51</v>
      </c>
      <c r="I153" t="s">
        <v>41</v>
      </c>
      <c r="K153">
        <v>44</v>
      </c>
      <c r="L153" t="s">
        <v>52</v>
      </c>
      <c r="M153" t="s">
        <v>32</v>
      </c>
    </row>
    <row r="154" spans="1:13" x14ac:dyDescent="0.3">
      <c r="A154" t="s">
        <v>160</v>
      </c>
      <c r="B154" s="4">
        <v>45292</v>
      </c>
      <c r="C154" s="6">
        <v>0.41875000000000001</v>
      </c>
      <c r="D154" t="s">
        <v>161</v>
      </c>
      <c r="E154" t="s">
        <v>39</v>
      </c>
      <c r="F154">
        <v>6</v>
      </c>
      <c r="G154" t="s">
        <v>57</v>
      </c>
      <c r="H154" t="s">
        <v>51</v>
      </c>
      <c r="I154" t="s">
        <v>26</v>
      </c>
      <c r="K154">
        <v>52</v>
      </c>
      <c r="L154" t="s">
        <v>52</v>
      </c>
      <c r="M154" t="s">
        <v>32</v>
      </c>
    </row>
    <row r="155" spans="1:13" x14ac:dyDescent="0.3">
      <c r="A155" t="s">
        <v>162</v>
      </c>
      <c r="B155" s="4">
        <v>45309</v>
      </c>
      <c r="C155" s="6">
        <v>0.60833333333333328</v>
      </c>
      <c r="D155" t="s">
        <v>163</v>
      </c>
      <c r="E155" t="s">
        <v>39</v>
      </c>
      <c r="F155">
        <v>2</v>
      </c>
      <c r="G155" t="s">
        <v>40</v>
      </c>
      <c r="H155" t="s">
        <v>51</v>
      </c>
      <c r="I155" t="s">
        <v>26</v>
      </c>
      <c r="K155">
        <v>33</v>
      </c>
      <c r="L155" t="s">
        <v>52</v>
      </c>
      <c r="M155" t="s">
        <v>32</v>
      </c>
    </row>
    <row r="156" spans="1:13" x14ac:dyDescent="0.3">
      <c r="A156" t="s">
        <v>502</v>
      </c>
      <c r="B156" s="4">
        <v>45305</v>
      </c>
      <c r="C156" s="6">
        <v>0.63541666666666663</v>
      </c>
      <c r="D156" t="s">
        <v>503</v>
      </c>
      <c r="E156" t="s">
        <v>39</v>
      </c>
      <c r="F156">
        <v>43</v>
      </c>
      <c r="G156" t="s">
        <v>40</v>
      </c>
      <c r="H156" t="s">
        <v>51</v>
      </c>
      <c r="I156" t="s">
        <v>26</v>
      </c>
      <c r="K156">
        <v>49</v>
      </c>
      <c r="L156" t="s">
        <v>27</v>
      </c>
      <c r="M156" t="s">
        <v>32</v>
      </c>
    </row>
    <row r="157" spans="1:13" x14ac:dyDescent="0.3">
      <c r="A157" t="s">
        <v>504</v>
      </c>
      <c r="B157" s="4">
        <v>45321</v>
      </c>
      <c r="C157" s="6">
        <v>0.99791666666666667</v>
      </c>
      <c r="D157" t="s">
        <v>505</v>
      </c>
      <c r="E157" t="s">
        <v>23</v>
      </c>
      <c r="F157">
        <v>67</v>
      </c>
      <c r="G157" t="s">
        <v>40</v>
      </c>
      <c r="H157" t="s">
        <v>51</v>
      </c>
      <c r="I157" t="s">
        <v>41</v>
      </c>
      <c r="K157">
        <v>57</v>
      </c>
      <c r="L157" t="s">
        <v>36</v>
      </c>
      <c r="M157" t="s">
        <v>32</v>
      </c>
    </row>
    <row r="158" spans="1:13" x14ac:dyDescent="0.3">
      <c r="A158" t="s">
        <v>506</v>
      </c>
      <c r="B158" s="4">
        <v>45303</v>
      </c>
      <c r="C158" s="6">
        <v>0.44444444444444442</v>
      </c>
      <c r="D158" t="s">
        <v>507</v>
      </c>
      <c r="E158" t="s">
        <v>23</v>
      </c>
      <c r="F158">
        <v>63</v>
      </c>
      <c r="G158" t="s">
        <v>40</v>
      </c>
      <c r="H158" t="s">
        <v>51</v>
      </c>
      <c r="I158" t="s">
        <v>41</v>
      </c>
      <c r="K158">
        <v>42</v>
      </c>
      <c r="L158" t="s">
        <v>36</v>
      </c>
      <c r="M158" t="s">
        <v>32</v>
      </c>
    </row>
    <row r="159" spans="1:13" x14ac:dyDescent="0.3">
      <c r="A159" t="s">
        <v>508</v>
      </c>
      <c r="B159" s="4">
        <v>45315</v>
      </c>
      <c r="C159" s="6">
        <v>0.3611111111111111</v>
      </c>
      <c r="D159" t="s">
        <v>509</v>
      </c>
      <c r="E159" t="s">
        <v>23</v>
      </c>
      <c r="F159">
        <v>34</v>
      </c>
      <c r="G159" t="s">
        <v>40</v>
      </c>
      <c r="H159" t="s">
        <v>51</v>
      </c>
      <c r="I159" t="s">
        <v>41</v>
      </c>
      <c r="K159">
        <v>48</v>
      </c>
      <c r="L159" t="s">
        <v>31</v>
      </c>
      <c r="M159" t="s">
        <v>32</v>
      </c>
    </row>
    <row r="160" spans="1:13" x14ac:dyDescent="0.3">
      <c r="A160" t="s">
        <v>510</v>
      </c>
      <c r="B160" s="4">
        <v>45310</v>
      </c>
      <c r="C160" s="6">
        <v>0.85833333333333328</v>
      </c>
      <c r="D160" t="s">
        <v>511</v>
      </c>
      <c r="E160" t="s">
        <v>23</v>
      </c>
      <c r="F160">
        <v>24</v>
      </c>
      <c r="G160" t="s">
        <v>40</v>
      </c>
      <c r="H160" t="s">
        <v>51</v>
      </c>
      <c r="I160" t="s">
        <v>41</v>
      </c>
      <c r="K160">
        <v>47</v>
      </c>
      <c r="L160" t="s">
        <v>46</v>
      </c>
      <c r="M160" t="s">
        <v>32</v>
      </c>
    </row>
    <row r="161" spans="1:13" x14ac:dyDescent="0.3">
      <c r="A161" t="s">
        <v>512</v>
      </c>
      <c r="B161" s="4">
        <v>45313</v>
      </c>
      <c r="C161" s="6">
        <v>0.2</v>
      </c>
      <c r="D161" t="s">
        <v>513</v>
      </c>
      <c r="E161" t="s">
        <v>23</v>
      </c>
      <c r="F161">
        <v>76</v>
      </c>
      <c r="G161" t="s">
        <v>40</v>
      </c>
      <c r="H161" t="s">
        <v>51</v>
      </c>
      <c r="I161" t="s">
        <v>26</v>
      </c>
      <c r="K161">
        <v>40</v>
      </c>
      <c r="L161" t="s">
        <v>82</v>
      </c>
      <c r="M161" t="s">
        <v>32</v>
      </c>
    </row>
    <row r="162" spans="1:13" x14ac:dyDescent="0.3">
      <c r="A162" t="s">
        <v>514</v>
      </c>
      <c r="B162" s="4">
        <v>45320</v>
      </c>
      <c r="C162" s="6">
        <v>0.24652777777777779</v>
      </c>
      <c r="D162" t="s">
        <v>515</v>
      </c>
      <c r="E162" t="s">
        <v>23</v>
      </c>
      <c r="F162">
        <v>61</v>
      </c>
      <c r="G162" t="s">
        <v>40</v>
      </c>
      <c r="H162" t="s">
        <v>51</v>
      </c>
      <c r="I162" t="s">
        <v>26</v>
      </c>
      <c r="K162">
        <v>33</v>
      </c>
      <c r="L162" t="s">
        <v>36</v>
      </c>
      <c r="M162" t="s">
        <v>32</v>
      </c>
    </row>
    <row r="163" spans="1:13" x14ac:dyDescent="0.3">
      <c r="A163" t="s">
        <v>166</v>
      </c>
      <c r="B163" s="4">
        <v>45307</v>
      </c>
      <c r="C163" s="6">
        <v>0.24652777777777779</v>
      </c>
      <c r="D163" t="s">
        <v>167</v>
      </c>
      <c r="E163" t="s">
        <v>23</v>
      </c>
      <c r="F163">
        <v>1</v>
      </c>
      <c r="G163" t="s">
        <v>35</v>
      </c>
      <c r="H163" t="s">
        <v>51</v>
      </c>
      <c r="I163" t="s">
        <v>41</v>
      </c>
      <c r="K163">
        <v>47</v>
      </c>
      <c r="L163" t="s">
        <v>52</v>
      </c>
      <c r="M163" t="s">
        <v>32</v>
      </c>
    </row>
    <row r="164" spans="1:13" x14ac:dyDescent="0.3">
      <c r="A164" t="s">
        <v>516</v>
      </c>
      <c r="B164" s="4">
        <v>45322</v>
      </c>
      <c r="C164" s="6">
        <v>0.52916666666666667</v>
      </c>
      <c r="D164" t="s">
        <v>517</v>
      </c>
      <c r="E164" t="s">
        <v>23</v>
      </c>
      <c r="F164">
        <v>67</v>
      </c>
      <c r="G164" t="s">
        <v>35</v>
      </c>
      <c r="H164" t="s">
        <v>51</v>
      </c>
      <c r="I164" t="s">
        <v>41</v>
      </c>
      <c r="K164">
        <v>41</v>
      </c>
      <c r="L164" t="s">
        <v>36</v>
      </c>
      <c r="M164" t="s">
        <v>32</v>
      </c>
    </row>
    <row r="165" spans="1:13" x14ac:dyDescent="0.3">
      <c r="A165" t="s">
        <v>518</v>
      </c>
      <c r="B165" s="4">
        <v>45295</v>
      </c>
      <c r="C165" s="6">
        <v>0.7631944444444444</v>
      </c>
      <c r="D165" t="s">
        <v>519</v>
      </c>
      <c r="E165" t="s">
        <v>23</v>
      </c>
      <c r="F165">
        <v>64</v>
      </c>
      <c r="G165" t="s">
        <v>35</v>
      </c>
      <c r="H165" t="s">
        <v>51</v>
      </c>
      <c r="I165" t="s">
        <v>26</v>
      </c>
      <c r="K165">
        <v>55</v>
      </c>
      <c r="L165" t="s">
        <v>36</v>
      </c>
      <c r="M165" t="s">
        <v>32</v>
      </c>
    </row>
    <row r="166" spans="1:13" x14ac:dyDescent="0.3">
      <c r="A166" t="s">
        <v>520</v>
      </c>
      <c r="B166" s="4">
        <v>45294</v>
      </c>
      <c r="C166" s="6">
        <v>0.36458333333333331</v>
      </c>
      <c r="D166" t="s">
        <v>521</v>
      </c>
      <c r="E166" t="s">
        <v>39</v>
      </c>
      <c r="F166">
        <v>53</v>
      </c>
      <c r="G166" t="s">
        <v>35</v>
      </c>
      <c r="H166" t="s">
        <v>51</v>
      </c>
      <c r="I166" t="s">
        <v>41</v>
      </c>
      <c r="K166">
        <v>35</v>
      </c>
      <c r="L166" t="s">
        <v>59</v>
      </c>
      <c r="M166" t="s">
        <v>32</v>
      </c>
    </row>
    <row r="167" spans="1:13" x14ac:dyDescent="0.3">
      <c r="A167" t="s">
        <v>522</v>
      </c>
      <c r="B167" s="4">
        <v>45304</v>
      </c>
      <c r="C167" s="6">
        <v>1.8749999999999999E-2</v>
      </c>
      <c r="D167" t="s">
        <v>523</v>
      </c>
      <c r="E167" t="s">
        <v>39</v>
      </c>
      <c r="F167">
        <v>62</v>
      </c>
      <c r="G167" t="s">
        <v>35</v>
      </c>
      <c r="H167" t="s">
        <v>51</v>
      </c>
      <c r="I167" t="s">
        <v>41</v>
      </c>
      <c r="K167">
        <v>50</v>
      </c>
      <c r="L167" t="s">
        <v>36</v>
      </c>
      <c r="M167" t="s">
        <v>32</v>
      </c>
    </row>
    <row r="168" spans="1:13" x14ac:dyDescent="0.3">
      <c r="A168" t="s">
        <v>524</v>
      </c>
      <c r="B168" s="4">
        <v>45314</v>
      </c>
      <c r="C168" s="6">
        <v>0.92013888888888884</v>
      </c>
      <c r="D168" t="s">
        <v>525</v>
      </c>
      <c r="E168" t="s">
        <v>39</v>
      </c>
      <c r="F168">
        <v>56</v>
      </c>
      <c r="G168" t="s">
        <v>35</v>
      </c>
      <c r="H168" t="s">
        <v>51</v>
      </c>
      <c r="I168" t="s">
        <v>41</v>
      </c>
      <c r="K168">
        <v>43</v>
      </c>
      <c r="L168" t="s">
        <v>59</v>
      </c>
      <c r="M168" t="s">
        <v>32</v>
      </c>
    </row>
    <row r="169" spans="1:13" x14ac:dyDescent="0.3">
      <c r="A169" t="s">
        <v>526</v>
      </c>
      <c r="B169" s="4">
        <v>45311</v>
      </c>
      <c r="C169" s="6">
        <v>0.54861111111111116</v>
      </c>
      <c r="D169" t="s">
        <v>527</v>
      </c>
      <c r="E169" t="s">
        <v>39</v>
      </c>
      <c r="F169">
        <v>45</v>
      </c>
      <c r="G169" t="s">
        <v>35</v>
      </c>
      <c r="H169" t="s">
        <v>51</v>
      </c>
      <c r="I169" t="s">
        <v>26</v>
      </c>
      <c r="K169">
        <v>36</v>
      </c>
      <c r="L169" t="s">
        <v>27</v>
      </c>
      <c r="M169" t="s">
        <v>32</v>
      </c>
    </row>
    <row r="170" spans="1:13" x14ac:dyDescent="0.3">
      <c r="A170" t="s">
        <v>528</v>
      </c>
      <c r="B170" s="4">
        <v>45295</v>
      </c>
      <c r="C170" s="6">
        <v>0.65</v>
      </c>
      <c r="D170" t="s">
        <v>529</v>
      </c>
      <c r="E170" t="s">
        <v>39</v>
      </c>
      <c r="F170">
        <v>55</v>
      </c>
      <c r="G170" t="s">
        <v>35</v>
      </c>
      <c r="H170" t="s">
        <v>51</v>
      </c>
      <c r="I170" t="s">
        <v>26</v>
      </c>
      <c r="K170">
        <v>46</v>
      </c>
      <c r="L170" t="s">
        <v>59</v>
      </c>
      <c r="M170" t="s">
        <v>32</v>
      </c>
    </row>
    <row r="171" spans="1:13" x14ac:dyDescent="0.3">
      <c r="A171" t="s">
        <v>530</v>
      </c>
      <c r="B171" s="4">
        <v>45318</v>
      </c>
      <c r="C171" s="6">
        <v>0.45</v>
      </c>
      <c r="D171" t="s">
        <v>531</v>
      </c>
      <c r="E171" t="s">
        <v>39</v>
      </c>
      <c r="F171">
        <v>34</v>
      </c>
      <c r="G171" t="s">
        <v>35</v>
      </c>
      <c r="H171" t="s">
        <v>51</v>
      </c>
      <c r="I171" t="s">
        <v>26</v>
      </c>
      <c r="K171">
        <v>51</v>
      </c>
      <c r="L171" t="s">
        <v>31</v>
      </c>
      <c r="M171" t="s">
        <v>32</v>
      </c>
    </row>
    <row r="172" spans="1:13" x14ac:dyDescent="0.3">
      <c r="A172" t="s">
        <v>532</v>
      </c>
      <c r="B172" s="4">
        <v>45318</v>
      </c>
      <c r="C172" s="6">
        <v>0.51388888888888884</v>
      </c>
      <c r="D172" t="s">
        <v>533</v>
      </c>
      <c r="E172" t="s">
        <v>39</v>
      </c>
      <c r="F172">
        <v>26</v>
      </c>
      <c r="G172" t="s">
        <v>35</v>
      </c>
      <c r="H172" t="s">
        <v>51</v>
      </c>
      <c r="I172" t="s">
        <v>26</v>
      </c>
      <c r="K172">
        <v>47</v>
      </c>
      <c r="L172" t="s">
        <v>46</v>
      </c>
      <c r="M172" t="s">
        <v>32</v>
      </c>
    </row>
    <row r="173" spans="1:13" x14ac:dyDescent="0.3">
      <c r="A173" t="s">
        <v>534</v>
      </c>
      <c r="B173" s="4">
        <v>45314</v>
      </c>
      <c r="C173" s="6">
        <v>9.6527777777777782E-2</v>
      </c>
      <c r="D173" t="s">
        <v>535</v>
      </c>
      <c r="E173" t="s">
        <v>23</v>
      </c>
      <c r="F173">
        <v>46</v>
      </c>
      <c r="G173" t="s">
        <v>24</v>
      </c>
      <c r="H173" t="s">
        <v>51</v>
      </c>
      <c r="I173" t="s">
        <v>26</v>
      </c>
      <c r="K173">
        <v>39</v>
      </c>
      <c r="L173" t="s">
        <v>27</v>
      </c>
      <c r="M173" t="s">
        <v>32</v>
      </c>
    </row>
    <row r="174" spans="1:13" x14ac:dyDescent="0.3">
      <c r="A174" t="s">
        <v>170</v>
      </c>
      <c r="B174" s="4">
        <v>45316</v>
      </c>
      <c r="C174" s="6">
        <v>0.72986111111111107</v>
      </c>
      <c r="D174" t="s">
        <v>171</v>
      </c>
      <c r="E174" t="s">
        <v>23</v>
      </c>
      <c r="F174">
        <v>8</v>
      </c>
      <c r="G174" t="s">
        <v>24</v>
      </c>
      <c r="H174" t="s">
        <v>51</v>
      </c>
      <c r="I174" t="s">
        <v>26</v>
      </c>
      <c r="K174">
        <v>53</v>
      </c>
      <c r="L174" t="s">
        <v>52</v>
      </c>
      <c r="M174" t="s">
        <v>32</v>
      </c>
    </row>
    <row r="175" spans="1:13" x14ac:dyDescent="0.3">
      <c r="A175" t="s">
        <v>536</v>
      </c>
      <c r="B175" s="4">
        <v>45294</v>
      </c>
      <c r="C175" s="6">
        <v>0.65208333333333335</v>
      </c>
      <c r="D175" t="s">
        <v>537</v>
      </c>
      <c r="E175" t="s">
        <v>23</v>
      </c>
      <c r="F175">
        <v>60</v>
      </c>
      <c r="G175" t="s">
        <v>24</v>
      </c>
      <c r="H175" t="s">
        <v>51</v>
      </c>
      <c r="I175" t="s">
        <v>26</v>
      </c>
      <c r="K175">
        <v>44</v>
      </c>
      <c r="L175" t="s">
        <v>59</v>
      </c>
      <c r="M175" t="s">
        <v>32</v>
      </c>
    </row>
    <row r="176" spans="1:13" x14ac:dyDescent="0.3">
      <c r="A176" t="s">
        <v>538</v>
      </c>
      <c r="B176" s="4">
        <v>45307</v>
      </c>
      <c r="C176" s="6">
        <v>0.5805555555555556</v>
      </c>
      <c r="D176" t="s">
        <v>539</v>
      </c>
      <c r="E176" t="s">
        <v>23</v>
      </c>
      <c r="F176">
        <v>57</v>
      </c>
      <c r="G176" t="s">
        <v>24</v>
      </c>
      <c r="H176" t="s">
        <v>51</v>
      </c>
      <c r="I176" t="s">
        <v>41</v>
      </c>
      <c r="K176">
        <v>32</v>
      </c>
      <c r="L176" t="s">
        <v>59</v>
      </c>
      <c r="M176" t="s">
        <v>32</v>
      </c>
    </row>
    <row r="177" spans="1:13" x14ac:dyDescent="0.3">
      <c r="A177" t="s">
        <v>174</v>
      </c>
      <c r="B177" s="4">
        <v>45309</v>
      </c>
      <c r="C177" s="6">
        <v>0.4284722222222222</v>
      </c>
      <c r="D177" t="s">
        <v>175</v>
      </c>
      <c r="E177" t="s">
        <v>23</v>
      </c>
      <c r="F177">
        <v>8</v>
      </c>
      <c r="G177" t="s">
        <v>24</v>
      </c>
      <c r="H177" t="s">
        <v>51</v>
      </c>
      <c r="I177" t="s">
        <v>41</v>
      </c>
      <c r="K177">
        <v>59</v>
      </c>
      <c r="L177" t="s">
        <v>52</v>
      </c>
      <c r="M177" t="s">
        <v>32</v>
      </c>
    </row>
    <row r="178" spans="1:13" x14ac:dyDescent="0.3">
      <c r="A178" t="s">
        <v>540</v>
      </c>
      <c r="B178" s="4">
        <v>45314</v>
      </c>
      <c r="C178" s="6">
        <v>0.68263888888888891</v>
      </c>
      <c r="D178" t="s">
        <v>541</v>
      </c>
      <c r="E178" t="s">
        <v>23</v>
      </c>
      <c r="F178">
        <v>75</v>
      </c>
      <c r="G178" t="s">
        <v>24</v>
      </c>
      <c r="H178" t="s">
        <v>51</v>
      </c>
      <c r="I178" t="s">
        <v>41</v>
      </c>
      <c r="K178">
        <v>44</v>
      </c>
      <c r="L178" t="s">
        <v>82</v>
      </c>
      <c r="M178" t="s">
        <v>32</v>
      </c>
    </row>
    <row r="179" spans="1:13" x14ac:dyDescent="0.3">
      <c r="A179" t="s">
        <v>542</v>
      </c>
      <c r="B179" s="4">
        <v>45309</v>
      </c>
      <c r="C179" s="6">
        <v>0.64930555555555558</v>
      </c>
      <c r="D179" t="s">
        <v>543</v>
      </c>
      <c r="E179" t="s">
        <v>23</v>
      </c>
      <c r="F179">
        <v>42</v>
      </c>
      <c r="G179" t="s">
        <v>24</v>
      </c>
      <c r="H179" t="s">
        <v>51</v>
      </c>
      <c r="I179" t="s">
        <v>41</v>
      </c>
      <c r="K179">
        <v>46</v>
      </c>
      <c r="L179" t="s">
        <v>27</v>
      </c>
      <c r="M179" t="s">
        <v>32</v>
      </c>
    </row>
    <row r="180" spans="1:13" x14ac:dyDescent="0.3">
      <c r="A180" t="s">
        <v>544</v>
      </c>
      <c r="B180" s="4">
        <v>45308</v>
      </c>
      <c r="C180" s="6">
        <v>0.41041666666666665</v>
      </c>
      <c r="D180" t="s">
        <v>545</v>
      </c>
      <c r="E180" t="s">
        <v>39</v>
      </c>
      <c r="F180">
        <v>47</v>
      </c>
      <c r="G180" t="s">
        <v>24</v>
      </c>
      <c r="H180" t="s">
        <v>51</v>
      </c>
      <c r="I180" t="s">
        <v>41</v>
      </c>
      <c r="K180">
        <v>35</v>
      </c>
      <c r="L180" t="s">
        <v>27</v>
      </c>
      <c r="M180" t="s">
        <v>32</v>
      </c>
    </row>
    <row r="181" spans="1:13" x14ac:dyDescent="0.3">
      <c r="A181" t="s">
        <v>546</v>
      </c>
      <c r="B181" s="4">
        <v>45320</v>
      </c>
      <c r="C181" s="6">
        <v>0.54166666666666663</v>
      </c>
      <c r="D181" t="s">
        <v>547</v>
      </c>
      <c r="E181" t="s">
        <v>39</v>
      </c>
      <c r="F181">
        <v>47</v>
      </c>
      <c r="G181" t="s">
        <v>24</v>
      </c>
      <c r="H181" t="s">
        <v>51</v>
      </c>
      <c r="I181" t="s">
        <v>41</v>
      </c>
      <c r="K181">
        <v>47</v>
      </c>
      <c r="L181" t="s">
        <v>27</v>
      </c>
      <c r="M181" t="s">
        <v>32</v>
      </c>
    </row>
    <row r="182" spans="1:13" x14ac:dyDescent="0.3">
      <c r="A182" t="s">
        <v>178</v>
      </c>
      <c r="B182" s="4">
        <v>45302</v>
      </c>
      <c r="C182" s="6">
        <v>0.44027777777777777</v>
      </c>
      <c r="D182" t="s">
        <v>179</v>
      </c>
      <c r="E182" t="s">
        <v>39</v>
      </c>
      <c r="F182">
        <v>6</v>
      </c>
      <c r="G182" t="s">
        <v>24</v>
      </c>
      <c r="H182" t="s">
        <v>51</v>
      </c>
      <c r="I182" t="s">
        <v>41</v>
      </c>
      <c r="K182">
        <v>44</v>
      </c>
      <c r="L182" t="s">
        <v>52</v>
      </c>
      <c r="M182" t="s">
        <v>32</v>
      </c>
    </row>
    <row r="183" spans="1:13" x14ac:dyDescent="0.3">
      <c r="A183" t="s">
        <v>180</v>
      </c>
      <c r="B183" s="4">
        <v>45312</v>
      </c>
      <c r="C183" s="6">
        <v>0.14930555555555555</v>
      </c>
      <c r="D183" t="s">
        <v>181</v>
      </c>
      <c r="E183" t="s">
        <v>39</v>
      </c>
      <c r="F183">
        <v>7</v>
      </c>
      <c r="G183" t="s">
        <v>24</v>
      </c>
      <c r="H183" t="s">
        <v>51</v>
      </c>
      <c r="I183" t="s">
        <v>41</v>
      </c>
      <c r="K183">
        <v>33</v>
      </c>
      <c r="L183" t="s">
        <v>52</v>
      </c>
      <c r="M183" t="s">
        <v>32</v>
      </c>
    </row>
    <row r="184" spans="1:13" x14ac:dyDescent="0.3">
      <c r="A184" t="s">
        <v>548</v>
      </c>
      <c r="B184" s="4">
        <v>45315</v>
      </c>
      <c r="C184" s="6">
        <v>0.5756944444444444</v>
      </c>
      <c r="D184" t="s">
        <v>549</v>
      </c>
      <c r="E184" t="s">
        <v>23</v>
      </c>
      <c r="F184">
        <v>29</v>
      </c>
      <c r="G184" t="s">
        <v>24</v>
      </c>
      <c r="H184" t="s">
        <v>58</v>
      </c>
      <c r="I184" t="s">
        <v>41</v>
      </c>
      <c r="K184">
        <v>41</v>
      </c>
      <c r="L184" t="s">
        <v>46</v>
      </c>
      <c r="M184" t="s">
        <v>32</v>
      </c>
    </row>
    <row r="185" spans="1:13" x14ac:dyDescent="0.3">
      <c r="A185" t="s">
        <v>550</v>
      </c>
      <c r="B185" s="4">
        <v>45314</v>
      </c>
      <c r="C185" s="6">
        <v>0.39305555555555555</v>
      </c>
      <c r="D185" t="s">
        <v>551</v>
      </c>
      <c r="E185" t="s">
        <v>23</v>
      </c>
      <c r="F185">
        <v>29</v>
      </c>
      <c r="G185" t="s">
        <v>24</v>
      </c>
      <c r="H185" t="s">
        <v>58</v>
      </c>
      <c r="I185" t="s">
        <v>41</v>
      </c>
      <c r="K185">
        <v>37</v>
      </c>
      <c r="L185" t="s">
        <v>46</v>
      </c>
      <c r="M185" t="s">
        <v>32</v>
      </c>
    </row>
    <row r="186" spans="1:13" x14ac:dyDescent="0.3">
      <c r="A186" t="s">
        <v>182</v>
      </c>
      <c r="B186" s="4">
        <v>45308</v>
      </c>
      <c r="C186" s="6">
        <v>0.52847222222222223</v>
      </c>
      <c r="D186" t="s">
        <v>183</v>
      </c>
      <c r="E186" t="s">
        <v>23</v>
      </c>
      <c r="F186">
        <v>4</v>
      </c>
      <c r="G186" t="s">
        <v>24</v>
      </c>
      <c r="H186" t="s">
        <v>58</v>
      </c>
      <c r="I186" t="s">
        <v>26</v>
      </c>
      <c r="K186">
        <v>53</v>
      </c>
      <c r="L186" t="s">
        <v>52</v>
      </c>
      <c r="M186" t="s">
        <v>32</v>
      </c>
    </row>
    <row r="187" spans="1:13" x14ac:dyDescent="0.3">
      <c r="A187" t="s">
        <v>552</v>
      </c>
      <c r="B187" s="4">
        <v>45319</v>
      </c>
      <c r="C187" s="6">
        <v>0.18680555555555556</v>
      </c>
      <c r="D187" t="s">
        <v>553</v>
      </c>
      <c r="E187" t="s">
        <v>23</v>
      </c>
      <c r="F187">
        <v>72</v>
      </c>
      <c r="G187" t="s">
        <v>24</v>
      </c>
      <c r="H187" t="s">
        <v>58</v>
      </c>
      <c r="I187" t="s">
        <v>26</v>
      </c>
      <c r="K187">
        <v>31</v>
      </c>
      <c r="L187" t="s">
        <v>82</v>
      </c>
      <c r="M187" t="s">
        <v>32</v>
      </c>
    </row>
    <row r="188" spans="1:13" x14ac:dyDescent="0.3">
      <c r="A188" t="s">
        <v>554</v>
      </c>
      <c r="B188" s="4">
        <v>45292</v>
      </c>
      <c r="C188" s="6">
        <v>0.72569444444444442</v>
      </c>
      <c r="D188" t="s">
        <v>555</v>
      </c>
      <c r="E188" t="s">
        <v>23</v>
      </c>
      <c r="F188">
        <v>22</v>
      </c>
      <c r="G188" t="s">
        <v>24</v>
      </c>
      <c r="H188" t="s">
        <v>58</v>
      </c>
      <c r="I188" t="s">
        <v>26</v>
      </c>
      <c r="K188">
        <v>45</v>
      </c>
      <c r="L188" t="s">
        <v>46</v>
      </c>
      <c r="M188" t="s">
        <v>32</v>
      </c>
    </row>
    <row r="189" spans="1:13" x14ac:dyDescent="0.3">
      <c r="A189" t="s">
        <v>556</v>
      </c>
      <c r="B189" s="4">
        <v>45301</v>
      </c>
      <c r="C189" s="6">
        <v>0.58125000000000004</v>
      </c>
      <c r="D189" t="s">
        <v>557</v>
      </c>
      <c r="E189" t="s">
        <v>39</v>
      </c>
      <c r="F189">
        <v>46</v>
      </c>
      <c r="G189" t="s">
        <v>24</v>
      </c>
      <c r="H189" t="s">
        <v>58</v>
      </c>
      <c r="I189" t="s">
        <v>26</v>
      </c>
      <c r="K189">
        <v>47</v>
      </c>
      <c r="L189" t="s">
        <v>27</v>
      </c>
      <c r="M189" t="s">
        <v>32</v>
      </c>
    </row>
    <row r="190" spans="1:13" x14ac:dyDescent="0.3">
      <c r="A190" t="s">
        <v>558</v>
      </c>
      <c r="B190" s="4">
        <v>45304</v>
      </c>
      <c r="C190" s="6">
        <v>0.48541666666666666</v>
      </c>
      <c r="D190" t="s">
        <v>559</v>
      </c>
      <c r="E190" t="s">
        <v>39</v>
      </c>
      <c r="F190">
        <v>33</v>
      </c>
      <c r="G190" t="s">
        <v>24</v>
      </c>
      <c r="H190" t="s">
        <v>58</v>
      </c>
      <c r="I190" t="s">
        <v>26</v>
      </c>
      <c r="K190">
        <v>32</v>
      </c>
      <c r="L190" t="s">
        <v>31</v>
      </c>
      <c r="M190" t="s">
        <v>32</v>
      </c>
    </row>
    <row r="191" spans="1:13" x14ac:dyDescent="0.3">
      <c r="A191" t="s">
        <v>560</v>
      </c>
      <c r="B191" s="4">
        <v>45292</v>
      </c>
      <c r="C191" s="6">
        <v>0.54166666666666663</v>
      </c>
      <c r="D191" t="s">
        <v>561</v>
      </c>
      <c r="E191" t="s">
        <v>39</v>
      </c>
      <c r="F191">
        <v>59</v>
      </c>
      <c r="G191" t="s">
        <v>24</v>
      </c>
      <c r="H191" t="s">
        <v>58</v>
      </c>
      <c r="I191" t="s">
        <v>26</v>
      </c>
      <c r="K191">
        <v>45</v>
      </c>
      <c r="L191" t="s">
        <v>59</v>
      </c>
      <c r="M191" t="s">
        <v>32</v>
      </c>
    </row>
    <row r="192" spans="1:13" x14ac:dyDescent="0.3">
      <c r="A192" t="s">
        <v>562</v>
      </c>
      <c r="B192" s="4">
        <v>45301</v>
      </c>
      <c r="C192" s="6">
        <v>0.72083333333333333</v>
      </c>
      <c r="D192" t="s">
        <v>563</v>
      </c>
      <c r="E192" t="s">
        <v>39</v>
      </c>
      <c r="F192">
        <v>11</v>
      </c>
      <c r="G192" t="s">
        <v>24</v>
      </c>
      <c r="H192" t="s">
        <v>58</v>
      </c>
      <c r="I192" t="s">
        <v>26</v>
      </c>
      <c r="K192">
        <v>60</v>
      </c>
      <c r="L192" t="s">
        <v>42</v>
      </c>
      <c r="M192" t="s">
        <v>32</v>
      </c>
    </row>
    <row r="193" spans="1:13" x14ac:dyDescent="0.3">
      <c r="A193" t="s">
        <v>564</v>
      </c>
      <c r="B193" s="4">
        <v>45314</v>
      </c>
      <c r="C193" s="6">
        <v>0.6430555555555556</v>
      </c>
      <c r="D193" t="s">
        <v>565</v>
      </c>
      <c r="E193" t="s">
        <v>39</v>
      </c>
      <c r="F193">
        <v>57</v>
      </c>
      <c r="G193" t="s">
        <v>35</v>
      </c>
      <c r="H193" t="s">
        <v>58</v>
      </c>
      <c r="I193" t="s">
        <v>26</v>
      </c>
      <c r="K193">
        <v>60</v>
      </c>
      <c r="L193" t="s">
        <v>59</v>
      </c>
      <c r="M193" t="s">
        <v>32</v>
      </c>
    </row>
    <row r="194" spans="1:13" x14ac:dyDescent="0.3">
      <c r="A194" t="s">
        <v>566</v>
      </c>
      <c r="B194" s="4">
        <v>45320</v>
      </c>
      <c r="C194" s="6">
        <v>0.34097222222222223</v>
      </c>
      <c r="D194" t="s">
        <v>567</v>
      </c>
      <c r="E194" t="s">
        <v>39</v>
      </c>
      <c r="F194">
        <v>74</v>
      </c>
      <c r="G194" t="s">
        <v>35</v>
      </c>
      <c r="H194" t="s">
        <v>58</v>
      </c>
      <c r="I194" t="s">
        <v>41</v>
      </c>
      <c r="K194">
        <v>58</v>
      </c>
      <c r="L194" t="s">
        <v>82</v>
      </c>
      <c r="M194" t="s">
        <v>32</v>
      </c>
    </row>
    <row r="195" spans="1:13" x14ac:dyDescent="0.3">
      <c r="A195" t="s">
        <v>568</v>
      </c>
      <c r="B195" s="4">
        <v>45300</v>
      </c>
      <c r="C195" s="6">
        <v>0.93888888888888888</v>
      </c>
      <c r="D195" t="s">
        <v>569</v>
      </c>
      <c r="E195" t="s">
        <v>39</v>
      </c>
      <c r="F195">
        <v>24</v>
      </c>
      <c r="G195" t="s">
        <v>35</v>
      </c>
      <c r="H195" t="s">
        <v>58</v>
      </c>
      <c r="I195" t="s">
        <v>41</v>
      </c>
      <c r="K195">
        <v>60</v>
      </c>
      <c r="L195" t="s">
        <v>46</v>
      </c>
      <c r="M195" t="s">
        <v>32</v>
      </c>
    </row>
    <row r="196" spans="1:13" x14ac:dyDescent="0.3">
      <c r="A196" t="s">
        <v>570</v>
      </c>
      <c r="B196" s="4">
        <v>45293</v>
      </c>
      <c r="C196" s="6">
        <v>0.88611111111111107</v>
      </c>
      <c r="D196" t="s">
        <v>571</v>
      </c>
      <c r="E196" t="s">
        <v>39</v>
      </c>
      <c r="F196">
        <v>18</v>
      </c>
      <c r="G196" t="s">
        <v>35</v>
      </c>
      <c r="H196" t="s">
        <v>58</v>
      </c>
      <c r="I196" t="s">
        <v>41</v>
      </c>
      <c r="K196">
        <v>55</v>
      </c>
      <c r="L196" t="s">
        <v>42</v>
      </c>
      <c r="M196" t="s">
        <v>32</v>
      </c>
    </row>
    <row r="197" spans="1:13" x14ac:dyDescent="0.3">
      <c r="A197" t="s">
        <v>572</v>
      </c>
      <c r="B197" s="4">
        <v>45322</v>
      </c>
      <c r="C197" s="6">
        <v>0.68611111111111112</v>
      </c>
      <c r="D197" t="s">
        <v>573</v>
      </c>
      <c r="E197" t="s">
        <v>23</v>
      </c>
      <c r="F197">
        <v>32</v>
      </c>
      <c r="G197" t="s">
        <v>35</v>
      </c>
      <c r="H197" t="s">
        <v>58</v>
      </c>
      <c r="I197" t="s">
        <v>41</v>
      </c>
      <c r="K197">
        <v>33</v>
      </c>
      <c r="L197" t="s">
        <v>31</v>
      </c>
      <c r="M197" t="s">
        <v>32</v>
      </c>
    </row>
    <row r="198" spans="1:13" x14ac:dyDescent="0.3">
      <c r="A198" t="s">
        <v>574</v>
      </c>
      <c r="B198" s="4">
        <v>45308</v>
      </c>
      <c r="C198" s="6">
        <v>0.30902777777777779</v>
      </c>
      <c r="D198" t="s">
        <v>575</v>
      </c>
      <c r="E198" t="s">
        <v>23</v>
      </c>
      <c r="F198">
        <v>62</v>
      </c>
      <c r="G198" t="s">
        <v>35</v>
      </c>
      <c r="H198" t="s">
        <v>58</v>
      </c>
      <c r="I198" t="s">
        <v>26</v>
      </c>
      <c r="K198">
        <v>33</v>
      </c>
      <c r="L198" t="s">
        <v>36</v>
      </c>
      <c r="M198" t="s">
        <v>32</v>
      </c>
    </row>
    <row r="199" spans="1:13" x14ac:dyDescent="0.3">
      <c r="A199" t="s">
        <v>576</v>
      </c>
      <c r="B199" s="4">
        <v>45302</v>
      </c>
      <c r="C199" s="6">
        <v>0.59305555555555556</v>
      </c>
      <c r="D199" t="s">
        <v>577</v>
      </c>
      <c r="E199" t="s">
        <v>23</v>
      </c>
      <c r="F199">
        <v>66</v>
      </c>
      <c r="G199" t="s">
        <v>35</v>
      </c>
      <c r="H199" t="s">
        <v>58</v>
      </c>
      <c r="I199" t="s">
        <v>26</v>
      </c>
      <c r="K199">
        <v>60</v>
      </c>
      <c r="L199" t="s">
        <v>36</v>
      </c>
      <c r="M199" t="s">
        <v>32</v>
      </c>
    </row>
    <row r="200" spans="1:13" x14ac:dyDescent="0.3">
      <c r="A200" t="s">
        <v>578</v>
      </c>
      <c r="B200" s="4">
        <v>45315</v>
      </c>
      <c r="C200" s="6">
        <v>0.81111111111111112</v>
      </c>
      <c r="D200" t="s">
        <v>579</v>
      </c>
      <c r="E200" t="s">
        <v>23</v>
      </c>
      <c r="F200">
        <v>35</v>
      </c>
      <c r="G200" t="s">
        <v>40</v>
      </c>
      <c r="H200" t="s">
        <v>58</v>
      </c>
      <c r="I200" t="s">
        <v>41</v>
      </c>
      <c r="K200">
        <v>54</v>
      </c>
      <c r="L200" t="s">
        <v>31</v>
      </c>
      <c r="M200" t="s">
        <v>32</v>
      </c>
    </row>
    <row r="201" spans="1:13" x14ac:dyDescent="0.3">
      <c r="A201" t="s">
        <v>580</v>
      </c>
      <c r="B201" s="4">
        <v>45296</v>
      </c>
      <c r="C201" s="6">
        <v>0.95694444444444449</v>
      </c>
      <c r="D201" t="s">
        <v>581</v>
      </c>
      <c r="E201" t="s">
        <v>39</v>
      </c>
      <c r="F201">
        <v>27</v>
      </c>
      <c r="G201" t="s">
        <v>40</v>
      </c>
      <c r="H201" t="s">
        <v>58</v>
      </c>
      <c r="I201" t="s">
        <v>26</v>
      </c>
      <c r="K201">
        <v>49</v>
      </c>
      <c r="L201" t="s">
        <v>46</v>
      </c>
      <c r="M201" t="s">
        <v>32</v>
      </c>
    </row>
    <row r="202" spans="1:13" x14ac:dyDescent="0.3">
      <c r="A202" t="s">
        <v>582</v>
      </c>
      <c r="B202" s="4">
        <v>45305</v>
      </c>
      <c r="C202" s="6">
        <v>0.4826388888888889</v>
      </c>
      <c r="D202" t="s">
        <v>583</v>
      </c>
      <c r="E202" t="s">
        <v>39</v>
      </c>
      <c r="F202">
        <v>62</v>
      </c>
      <c r="G202" t="s">
        <v>40</v>
      </c>
      <c r="H202" t="s">
        <v>58</v>
      </c>
      <c r="I202" t="s">
        <v>41</v>
      </c>
      <c r="K202">
        <v>50</v>
      </c>
      <c r="L202" t="s">
        <v>36</v>
      </c>
      <c r="M202" t="s">
        <v>32</v>
      </c>
    </row>
    <row r="203" spans="1:13" x14ac:dyDescent="0.3">
      <c r="A203" t="s">
        <v>584</v>
      </c>
      <c r="B203" s="4">
        <v>45298</v>
      </c>
      <c r="C203" s="6">
        <v>0.4826388888888889</v>
      </c>
      <c r="D203" t="s">
        <v>585</v>
      </c>
      <c r="E203" t="s">
        <v>39</v>
      </c>
      <c r="F203">
        <v>55</v>
      </c>
      <c r="G203" t="s">
        <v>40</v>
      </c>
      <c r="H203" t="s">
        <v>58</v>
      </c>
      <c r="I203" t="s">
        <v>41</v>
      </c>
      <c r="K203">
        <v>56</v>
      </c>
      <c r="L203" t="s">
        <v>59</v>
      </c>
      <c r="M203" t="s">
        <v>32</v>
      </c>
    </row>
    <row r="204" spans="1:13" x14ac:dyDescent="0.3">
      <c r="A204" t="s">
        <v>586</v>
      </c>
      <c r="B204" s="4">
        <v>45299</v>
      </c>
      <c r="C204" s="6">
        <v>0.59166666666666667</v>
      </c>
      <c r="D204" t="s">
        <v>587</v>
      </c>
      <c r="E204" t="s">
        <v>39</v>
      </c>
      <c r="F204">
        <v>73</v>
      </c>
      <c r="G204" t="s">
        <v>40</v>
      </c>
      <c r="H204" t="s">
        <v>58</v>
      </c>
      <c r="I204" t="s">
        <v>41</v>
      </c>
      <c r="K204">
        <v>38</v>
      </c>
      <c r="L204" t="s">
        <v>82</v>
      </c>
      <c r="M204" t="s">
        <v>32</v>
      </c>
    </row>
    <row r="205" spans="1:13" x14ac:dyDescent="0.3">
      <c r="A205" t="s">
        <v>588</v>
      </c>
      <c r="B205" s="4">
        <v>45294</v>
      </c>
      <c r="C205" s="6">
        <v>0.24791666666666667</v>
      </c>
      <c r="D205" t="s">
        <v>589</v>
      </c>
      <c r="E205" t="s">
        <v>39</v>
      </c>
      <c r="F205">
        <v>41</v>
      </c>
      <c r="G205" t="s">
        <v>40</v>
      </c>
      <c r="H205" t="s">
        <v>58</v>
      </c>
      <c r="I205" t="s">
        <v>26</v>
      </c>
      <c r="K205">
        <v>57</v>
      </c>
      <c r="L205" t="s">
        <v>27</v>
      </c>
      <c r="M205" t="s">
        <v>32</v>
      </c>
    </row>
    <row r="206" spans="1:13" x14ac:dyDescent="0.3">
      <c r="A206" t="s">
        <v>590</v>
      </c>
      <c r="B206" s="4">
        <v>45303</v>
      </c>
      <c r="C206" s="6">
        <v>0.88958333333333328</v>
      </c>
      <c r="D206" t="s">
        <v>591</v>
      </c>
      <c r="E206" t="s">
        <v>39</v>
      </c>
      <c r="F206">
        <v>61</v>
      </c>
      <c r="G206" t="s">
        <v>40</v>
      </c>
      <c r="H206" t="s">
        <v>58</v>
      </c>
      <c r="I206" t="s">
        <v>26</v>
      </c>
      <c r="K206">
        <v>37</v>
      </c>
      <c r="L206" t="s">
        <v>36</v>
      </c>
      <c r="M206" t="s">
        <v>32</v>
      </c>
    </row>
    <row r="207" spans="1:13" x14ac:dyDescent="0.3">
      <c r="A207" t="s">
        <v>592</v>
      </c>
      <c r="B207" s="4">
        <v>45304</v>
      </c>
      <c r="C207" s="6">
        <v>0.17222222222222222</v>
      </c>
      <c r="D207" t="s">
        <v>593</v>
      </c>
      <c r="E207" t="s">
        <v>39</v>
      </c>
      <c r="F207">
        <v>26</v>
      </c>
      <c r="G207" t="s">
        <v>40</v>
      </c>
      <c r="H207" t="s">
        <v>58</v>
      </c>
      <c r="I207" t="s">
        <v>26</v>
      </c>
      <c r="K207">
        <v>42</v>
      </c>
      <c r="L207" t="s">
        <v>46</v>
      </c>
      <c r="M207" t="s">
        <v>32</v>
      </c>
    </row>
    <row r="208" spans="1:13" x14ac:dyDescent="0.3">
      <c r="A208" t="s">
        <v>594</v>
      </c>
      <c r="B208" s="4">
        <v>45305</v>
      </c>
      <c r="C208" s="6">
        <v>0.91597222222222219</v>
      </c>
      <c r="D208" t="s">
        <v>595</v>
      </c>
      <c r="E208" t="s">
        <v>23</v>
      </c>
      <c r="F208">
        <v>74</v>
      </c>
      <c r="G208" t="s">
        <v>57</v>
      </c>
      <c r="H208" t="s">
        <v>58</v>
      </c>
      <c r="I208" t="s">
        <v>41</v>
      </c>
      <c r="K208">
        <v>59</v>
      </c>
      <c r="L208" t="s">
        <v>82</v>
      </c>
      <c r="M208" t="s">
        <v>32</v>
      </c>
    </row>
    <row r="209" spans="1:13" x14ac:dyDescent="0.3">
      <c r="A209" t="s">
        <v>596</v>
      </c>
      <c r="B209" s="4">
        <v>45309</v>
      </c>
      <c r="C209" s="6">
        <v>9.7222222222222224E-2</v>
      </c>
      <c r="D209" t="s">
        <v>597</v>
      </c>
      <c r="E209" t="s">
        <v>23</v>
      </c>
      <c r="F209">
        <v>25</v>
      </c>
      <c r="G209" t="s">
        <v>57</v>
      </c>
      <c r="H209" t="s">
        <v>58</v>
      </c>
      <c r="I209" t="s">
        <v>41</v>
      </c>
      <c r="K209">
        <v>44</v>
      </c>
      <c r="L209" t="s">
        <v>46</v>
      </c>
      <c r="M209" t="s">
        <v>32</v>
      </c>
    </row>
    <row r="210" spans="1:13" x14ac:dyDescent="0.3">
      <c r="A210" t="s">
        <v>598</v>
      </c>
      <c r="B210" s="4">
        <v>45298</v>
      </c>
      <c r="C210" s="6">
        <v>0.64027777777777772</v>
      </c>
      <c r="D210" t="s">
        <v>599</v>
      </c>
      <c r="E210" t="s">
        <v>39</v>
      </c>
      <c r="F210">
        <v>13</v>
      </c>
      <c r="G210" t="s">
        <v>57</v>
      </c>
      <c r="H210" t="s">
        <v>58</v>
      </c>
      <c r="I210" t="s">
        <v>41</v>
      </c>
      <c r="K210">
        <v>49</v>
      </c>
      <c r="L210" t="s">
        <v>42</v>
      </c>
      <c r="M210" t="s">
        <v>32</v>
      </c>
    </row>
    <row r="211" spans="1:13" x14ac:dyDescent="0.3">
      <c r="A211" t="s">
        <v>600</v>
      </c>
      <c r="B211" s="4">
        <v>45319</v>
      </c>
      <c r="C211" s="6">
        <v>0.12638888888888888</v>
      </c>
      <c r="D211" t="s">
        <v>601</v>
      </c>
      <c r="E211" t="s">
        <v>23</v>
      </c>
      <c r="F211">
        <v>16</v>
      </c>
      <c r="G211" t="s">
        <v>57</v>
      </c>
      <c r="H211" t="s">
        <v>58</v>
      </c>
      <c r="I211" t="s">
        <v>26</v>
      </c>
      <c r="K211">
        <v>59</v>
      </c>
      <c r="L211" t="s">
        <v>42</v>
      </c>
      <c r="M211" t="s">
        <v>32</v>
      </c>
    </row>
    <row r="212" spans="1:13" x14ac:dyDescent="0.3">
      <c r="A212" t="s">
        <v>602</v>
      </c>
      <c r="B212" s="4">
        <v>45303</v>
      </c>
      <c r="C212" s="6">
        <v>0.40069444444444446</v>
      </c>
      <c r="D212" t="s">
        <v>603</v>
      </c>
      <c r="E212" t="s">
        <v>23</v>
      </c>
      <c r="F212">
        <v>30</v>
      </c>
      <c r="G212" t="s">
        <v>57</v>
      </c>
      <c r="H212" t="s">
        <v>58</v>
      </c>
      <c r="I212" t="s">
        <v>26</v>
      </c>
      <c r="K212">
        <v>49</v>
      </c>
      <c r="L212" t="s">
        <v>46</v>
      </c>
      <c r="M212" t="s">
        <v>32</v>
      </c>
    </row>
    <row r="213" spans="1:13" x14ac:dyDescent="0.3">
      <c r="A213" t="s">
        <v>604</v>
      </c>
      <c r="B213" s="4">
        <v>45295</v>
      </c>
      <c r="C213" s="6">
        <v>0.70416666666666672</v>
      </c>
      <c r="D213" t="s">
        <v>605</v>
      </c>
      <c r="E213" t="s">
        <v>23</v>
      </c>
      <c r="F213">
        <v>20</v>
      </c>
      <c r="G213" t="s">
        <v>45</v>
      </c>
      <c r="H213" t="s">
        <v>58</v>
      </c>
      <c r="I213" t="s">
        <v>26</v>
      </c>
      <c r="K213">
        <v>43</v>
      </c>
      <c r="L213" t="s">
        <v>42</v>
      </c>
      <c r="M213" t="s">
        <v>32</v>
      </c>
    </row>
    <row r="214" spans="1:13" x14ac:dyDescent="0.3">
      <c r="A214" t="s">
        <v>606</v>
      </c>
      <c r="B214" s="4">
        <v>45320</v>
      </c>
      <c r="C214" s="6">
        <v>0.32916666666666666</v>
      </c>
      <c r="D214" t="s">
        <v>607</v>
      </c>
      <c r="E214" t="s">
        <v>23</v>
      </c>
      <c r="F214">
        <v>46</v>
      </c>
      <c r="G214" t="s">
        <v>149</v>
      </c>
      <c r="H214" t="s">
        <v>58</v>
      </c>
      <c r="I214" t="s">
        <v>26</v>
      </c>
      <c r="K214">
        <v>47</v>
      </c>
      <c r="L214" t="s">
        <v>27</v>
      </c>
      <c r="M214" t="s">
        <v>32</v>
      </c>
    </row>
    <row r="215" spans="1:13" x14ac:dyDescent="0.3">
      <c r="A215" t="s">
        <v>608</v>
      </c>
      <c r="B215" s="4">
        <v>45295</v>
      </c>
      <c r="C215" s="6">
        <v>0.12986111111111112</v>
      </c>
      <c r="D215" t="s">
        <v>609</v>
      </c>
      <c r="E215" t="s">
        <v>39</v>
      </c>
      <c r="F215">
        <v>27</v>
      </c>
      <c r="G215" t="s">
        <v>149</v>
      </c>
      <c r="H215" t="s">
        <v>58</v>
      </c>
      <c r="I215" t="s">
        <v>41</v>
      </c>
      <c r="K215">
        <v>53</v>
      </c>
      <c r="L215" t="s">
        <v>46</v>
      </c>
      <c r="M215" t="s">
        <v>32</v>
      </c>
    </row>
    <row r="216" spans="1:13" x14ac:dyDescent="0.3">
      <c r="A216" t="s">
        <v>610</v>
      </c>
      <c r="B216" s="4">
        <v>45298</v>
      </c>
      <c r="C216" s="6">
        <v>0.93888888888888888</v>
      </c>
      <c r="D216" t="s">
        <v>611</v>
      </c>
      <c r="E216" t="s">
        <v>39</v>
      </c>
      <c r="F216">
        <v>63</v>
      </c>
      <c r="G216" t="s">
        <v>75</v>
      </c>
      <c r="H216" t="s">
        <v>58</v>
      </c>
      <c r="I216" t="s">
        <v>41</v>
      </c>
      <c r="K216">
        <v>41</v>
      </c>
      <c r="L216" t="s">
        <v>36</v>
      </c>
      <c r="M216" t="s">
        <v>32</v>
      </c>
    </row>
    <row r="217" spans="1:13" x14ac:dyDescent="0.3">
      <c r="A217" t="s">
        <v>612</v>
      </c>
      <c r="B217" s="4">
        <v>45306</v>
      </c>
      <c r="C217" s="6">
        <v>0.38611111111111113</v>
      </c>
      <c r="D217" t="s">
        <v>613</v>
      </c>
      <c r="E217" t="s">
        <v>23</v>
      </c>
      <c r="F217">
        <v>36</v>
      </c>
      <c r="G217" t="s">
        <v>149</v>
      </c>
      <c r="H217" t="s">
        <v>58</v>
      </c>
      <c r="I217" t="s">
        <v>26</v>
      </c>
      <c r="K217">
        <v>34</v>
      </c>
      <c r="L217" t="s">
        <v>31</v>
      </c>
      <c r="M217" t="s">
        <v>32</v>
      </c>
    </row>
    <row r="218" spans="1:13" x14ac:dyDescent="0.3">
      <c r="A218" t="s">
        <v>188</v>
      </c>
      <c r="B218" s="4">
        <v>45311</v>
      </c>
      <c r="C218" s="6">
        <v>0.95347222222222228</v>
      </c>
      <c r="D218" t="s">
        <v>189</v>
      </c>
      <c r="E218" t="s">
        <v>23</v>
      </c>
      <c r="F218">
        <v>3</v>
      </c>
      <c r="G218" t="s">
        <v>75</v>
      </c>
      <c r="H218" t="s">
        <v>58</v>
      </c>
      <c r="I218" t="s">
        <v>26</v>
      </c>
      <c r="K218">
        <v>54</v>
      </c>
      <c r="L218" t="s">
        <v>52</v>
      </c>
      <c r="M218" t="s">
        <v>32</v>
      </c>
    </row>
    <row r="219" spans="1:13" x14ac:dyDescent="0.3">
      <c r="A219" t="s">
        <v>190</v>
      </c>
      <c r="B219" s="4">
        <v>45306</v>
      </c>
      <c r="C219" s="6">
        <v>0.12222222222222222</v>
      </c>
      <c r="D219" t="s">
        <v>191</v>
      </c>
      <c r="E219" t="s">
        <v>23</v>
      </c>
      <c r="F219">
        <v>10</v>
      </c>
      <c r="G219" t="s">
        <v>57</v>
      </c>
      <c r="H219" t="s">
        <v>62</v>
      </c>
      <c r="I219" t="s">
        <v>41</v>
      </c>
      <c r="K219">
        <v>48</v>
      </c>
      <c r="L219" t="s">
        <v>52</v>
      </c>
      <c r="M219" t="s">
        <v>32</v>
      </c>
    </row>
    <row r="220" spans="1:13" x14ac:dyDescent="0.3">
      <c r="A220" t="s">
        <v>614</v>
      </c>
      <c r="B220" s="4">
        <v>45299</v>
      </c>
      <c r="C220" s="6">
        <v>0.22916666666666666</v>
      </c>
      <c r="D220" t="s">
        <v>615</v>
      </c>
      <c r="E220" t="s">
        <v>23</v>
      </c>
      <c r="F220">
        <v>54</v>
      </c>
      <c r="G220" t="s">
        <v>24</v>
      </c>
      <c r="H220" t="s">
        <v>62</v>
      </c>
      <c r="I220" t="s">
        <v>41</v>
      </c>
      <c r="K220">
        <v>59</v>
      </c>
      <c r="L220" t="s">
        <v>59</v>
      </c>
      <c r="M220" t="s">
        <v>32</v>
      </c>
    </row>
    <row r="221" spans="1:13" x14ac:dyDescent="0.3">
      <c r="A221" t="s">
        <v>192</v>
      </c>
      <c r="B221" s="4">
        <v>45298</v>
      </c>
      <c r="C221" s="6">
        <v>0.12222222222222222</v>
      </c>
      <c r="D221" t="s">
        <v>193</v>
      </c>
      <c r="E221" t="s">
        <v>39</v>
      </c>
      <c r="F221">
        <v>7</v>
      </c>
      <c r="G221" t="s">
        <v>40</v>
      </c>
      <c r="H221" t="s">
        <v>62</v>
      </c>
      <c r="I221" t="s">
        <v>41</v>
      </c>
      <c r="K221">
        <v>46</v>
      </c>
      <c r="L221" t="s">
        <v>52</v>
      </c>
      <c r="M221" t="s">
        <v>32</v>
      </c>
    </row>
    <row r="222" spans="1:13" x14ac:dyDescent="0.3">
      <c r="A222" t="s">
        <v>616</v>
      </c>
      <c r="B222" s="4">
        <v>45317</v>
      </c>
      <c r="C222" s="6">
        <v>0.54305555555555551</v>
      </c>
      <c r="D222" t="s">
        <v>617</v>
      </c>
      <c r="E222" t="s">
        <v>23</v>
      </c>
      <c r="F222">
        <v>69</v>
      </c>
      <c r="G222" t="s">
        <v>75</v>
      </c>
      <c r="H222" t="s">
        <v>62</v>
      </c>
      <c r="I222" t="s">
        <v>26</v>
      </c>
      <c r="K222">
        <v>33</v>
      </c>
      <c r="L222" t="s">
        <v>36</v>
      </c>
      <c r="M222" t="s">
        <v>32</v>
      </c>
    </row>
    <row r="223" spans="1:13" x14ac:dyDescent="0.3">
      <c r="A223" t="s">
        <v>618</v>
      </c>
      <c r="B223" s="4">
        <v>45295</v>
      </c>
      <c r="C223" s="6">
        <v>0.23333333333333334</v>
      </c>
      <c r="D223" t="s">
        <v>619</v>
      </c>
      <c r="E223" t="s">
        <v>39</v>
      </c>
      <c r="F223">
        <v>33</v>
      </c>
      <c r="G223" t="s">
        <v>40</v>
      </c>
      <c r="H223" t="s">
        <v>62</v>
      </c>
      <c r="I223" t="s">
        <v>26</v>
      </c>
      <c r="K223">
        <v>60</v>
      </c>
      <c r="L223" t="s">
        <v>31</v>
      </c>
      <c r="M223" t="s">
        <v>32</v>
      </c>
    </row>
    <row r="224" spans="1:13" x14ac:dyDescent="0.3">
      <c r="A224" t="s">
        <v>620</v>
      </c>
      <c r="B224" s="4">
        <v>45294</v>
      </c>
      <c r="C224" s="6">
        <v>0.98124999999999996</v>
      </c>
      <c r="D224" t="s">
        <v>621</v>
      </c>
      <c r="E224" t="s">
        <v>39</v>
      </c>
      <c r="F224">
        <v>44</v>
      </c>
      <c r="G224" t="s">
        <v>24</v>
      </c>
      <c r="H224" t="s">
        <v>62</v>
      </c>
      <c r="I224" t="s">
        <v>26</v>
      </c>
      <c r="K224">
        <v>48</v>
      </c>
      <c r="L224" t="s">
        <v>27</v>
      </c>
      <c r="M224" t="s">
        <v>32</v>
      </c>
    </row>
    <row r="225" spans="1:13" x14ac:dyDescent="0.3">
      <c r="A225" t="s">
        <v>622</v>
      </c>
      <c r="B225" s="4">
        <v>45304</v>
      </c>
      <c r="C225" s="6">
        <v>0.95486111111111116</v>
      </c>
      <c r="D225" t="s">
        <v>623</v>
      </c>
      <c r="E225" t="s">
        <v>23</v>
      </c>
      <c r="F225">
        <v>32</v>
      </c>
      <c r="G225" t="s">
        <v>57</v>
      </c>
      <c r="H225" t="s">
        <v>67</v>
      </c>
      <c r="I225" t="s">
        <v>41</v>
      </c>
      <c r="K225">
        <v>35</v>
      </c>
      <c r="L225" t="s">
        <v>31</v>
      </c>
      <c r="M225" t="s">
        <v>32</v>
      </c>
    </row>
    <row r="226" spans="1:13" x14ac:dyDescent="0.3">
      <c r="A226" t="s">
        <v>624</v>
      </c>
      <c r="B226" s="4">
        <v>45292</v>
      </c>
      <c r="C226" s="6">
        <v>0.95902777777777781</v>
      </c>
      <c r="D226" t="s">
        <v>625</v>
      </c>
      <c r="E226" t="s">
        <v>39</v>
      </c>
      <c r="F226">
        <v>19</v>
      </c>
      <c r="G226" t="s">
        <v>24</v>
      </c>
      <c r="H226" t="s">
        <v>67</v>
      </c>
      <c r="I226" t="s">
        <v>41</v>
      </c>
      <c r="K226">
        <v>34</v>
      </c>
      <c r="L226" t="s">
        <v>42</v>
      </c>
      <c r="M226" t="s">
        <v>32</v>
      </c>
    </row>
    <row r="227" spans="1:13" x14ac:dyDescent="0.3">
      <c r="A227" t="s">
        <v>626</v>
      </c>
      <c r="B227" s="4">
        <v>45312</v>
      </c>
      <c r="C227" s="6">
        <v>0.93263888888888891</v>
      </c>
      <c r="D227" t="s">
        <v>627</v>
      </c>
      <c r="E227" t="s">
        <v>23</v>
      </c>
      <c r="F227">
        <v>69</v>
      </c>
      <c r="G227" t="s">
        <v>45</v>
      </c>
      <c r="H227" t="s">
        <v>67</v>
      </c>
      <c r="I227" t="s">
        <v>26</v>
      </c>
      <c r="K227">
        <v>37</v>
      </c>
      <c r="L227" t="s">
        <v>36</v>
      </c>
      <c r="M227" t="s">
        <v>32</v>
      </c>
    </row>
    <row r="228" spans="1:13" x14ac:dyDescent="0.3">
      <c r="A228" t="s">
        <v>628</v>
      </c>
      <c r="B228" s="4">
        <v>45292</v>
      </c>
      <c r="C228" s="6">
        <v>0.875</v>
      </c>
      <c r="D228" t="s">
        <v>629</v>
      </c>
      <c r="E228" t="s">
        <v>23</v>
      </c>
      <c r="F228">
        <v>63</v>
      </c>
      <c r="G228" t="s">
        <v>75</v>
      </c>
      <c r="H228" t="s">
        <v>67</v>
      </c>
      <c r="I228" t="s">
        <v>26</v>
      </c>
      <c r="K228">
        <v>36</v>
      </c>
      <c r="L228" t="s">
        <v>36</v>
      </c>
      <c r="M228" t="s">
        <v>32</v>
      </c>
    </row>
    <row r="229" spans="1:13" x14ac:dyDescent="0.3">
      <c r="A229" t="s">
        <v>630</v>
      </c>
      <c r="B229" s="4">
        <v>45301</v>
      </c>
      <c r="C229" s="6">
        <v>0.84444444444444444</v>
      </c>
      <c r="D229" t="s">
        <v>631</v>
      </c>
      <c r="E229" t="s">
        <v>39</v>
      </c>
      <c r="F229">
        <v>30</v>
      </c>
      <c r="G229" t="s">
        <v>149</v>
      </c>
      <c r="H229" t="s">
        <v>67</v>
      </c>
      <c r="I229" t="s">
        <v>26</v>
      </c>
      <c r="K229">
        <v>53</v>
      </c>
      <c r="L229" t="s">
        <v>46</v>
      </c>
      <c r="M229" t="s">
        <v>32</v>
      </c>
    </row>
    <row r="230" spans="1:13" x14ac:dyDescent="0.3">
      <c r="A230" t="s">
        <v>632</v>
      </c>
      <c r="B230" s="4">
        <v>45299</v>
      </c>
      <c r="C230" s="6">
        <v>0.8305555555555556</v>
      </c>
      <c r="D230" t="s">
        <v>633</v>
      </c>
      <c r="E230" t="s">
        <v>39</v>
      </c>
      <c r="F230">
        <v>69</v>
      </c>
      <c r="G230" t="s">
        <v>24</v>
      </c>
      <c r="H230" t="s">
        <v>67</v>
      </c>
      <c r="I230" t="s">
        <v>26</v>
      </c>
      <c r="K230">
        <v>34</v>
      </c>
      <c r="L230" t="s">
        <v>36</v>
      </c>
      <c r="M230" t="s">
        <v>32</v>
      </c>
    </row>
    <row r="231" spans="1:13" x14ac:dyDescent="0.3">
      <c r="A231" t="s">
        <v>634</v>
      </c>
      <c r="B231" s="4">
        <v>45317</v>
      </c>
      <c r="C231" s="6">
        <v>0.26597222222222222</v>
      </c>
      <c r="D231" t="s">
        <v>635</v>
      </c>
      <c r="E231" t="s">
        <v>23</v>
      </c>
      <c r="F231">
        <v>51</v>
      </c>
      <c r="G231" t="s">
        <v>35</v>
      </c>
      <c r="H231" t="s">
        <v>636</v>
      </c>
      <c r="I231" t="s">
        <v>26</v>
      </c>
      <c r="K231">
        <v>52</v>
      </c>
      <c r="L231" t="s">
        <v>59</v>
      </c>
      <c r="M231" t="s">
        <v>32</v>
      </c>
    </row>
    <row r="232" spans="1:13" x14ac:dyDescent="0.3">
      <c r="A232" t="s">
        <v>637</v>
      </c>
      <c r="B232" s="4">
        <v>45313</v>
      </c>
      <c r="C232" s="6">
        <v>0.95625000000000004</v>
      </c>
      <c r="D232" t="s">
        <v>638</v>
      </c>
      <c r="E232" t="s">
        <v>39</v>
      </c>
      <c r="F232">
        <v>30</v>
      </c>
      <c r="G232" t="s">
        <v>57</v>
      </c>
      <c r="H232" t="s">
        <v>636</v>
      </c>
      <c r="I232" t="s">
        <v>26</v>
      </c>
      <c r="K232">
        <v>51</v>
      </c>
      <c r="L232" t="s">
        <v>46</v>
      </c>
      <c r="M232" t="s">
        <v>32</v>
      </c>
    </row>
    <row r="233" spans="1:13" x14ac:dyDescent="0.3">
      <c r="A233" t="s">
        <v>639</v>
      </c>
      <c r="B233" s="4">
        <v>45322</v>
      </c>
      <c r="C233" s="6">
        <v>0.5625</v>
      </c>
      <c r="D233" t="s">
        <v>640</v>
      </c>
      <c r="E233" t="s">
        <v>39</v>
      </c>
      <c r="F233">
        <v>53</v>
      </c>
      <c r="G233" t="s">
        <v>45</v>
      </c>
      <c r="H233" t="s">
        <v>636</v>
      </c>
      <c r="I233" t="s">
        <v>26</v>
      </c>
      <c r="K233">
        <v>50</v>
      </c>
      <c r="L233" t="s">
        <v>59</v>
      </c>
      <c r="M233" t="s">
        <v>32</v>
      </c>
    </row>
    <row r="234" spans="1:13" x14ac:dyDescent="0.3">
      <c r="A234" t="s">
        <v>641</v>
      </c>
      <c r="B234" s="4">
        <v>45299</v>
      </c>
      <c r="C234" s="6">
        <v>0.21388888888888888</v>
      </c>
      <c r="D234" t="s">
        <v>642</v>
      </c>
      <c r="E234" t="s">
        <v>39</v>
      </c>
      <c r="F234">
        <v>25</v>
      </c>
      <c r="G234" t="s">
        <v>24</v>
      </c>
      <c r="H234" t="s">
        <v>636</v>
      </c>
      <c r="I234" t="s">
        <v>26</v>
      </c>
      <c r="K234">
        <v>48</v>
      </c>
      <c r="L234" t="s">
        <v>46</v>
      </c>
      <c r="M234" t="s">
        <v>32</v>
      </c>
    </row>
    <row r="235" spans="1:13" x14ac:dyDescent="0.3">
      <c r="A235" t="s">
        <v>643</v>
      </c>
      <c r="B235" s="4">
        <v>45315</v>
      </c>
      <c r="C235" s="6">
        <v>0.19027777777777777</v>
      </c>
      <c r="D235" t="s">
        <v>644</v>
      </c>
      <c r="E235" t="s">
        <v>39</v>
      </c>
      <c r="F235">
        <v>76</v>
      </c>
      <c r="G235" t="s">
        <v>57</v>
      </c>
      <c r="H235" t="s">
        <v>72</v>
      </c>
      <c r="I235" t="s">
        <v>41</v>
      </c>
      <c r="K235">
        <v>59</v>
      </c>
      <c r="L235" t="s">
        <v>82</v>
      </c>
      <c r="M235" t="s">
        <v>32</v>
      </c>
    </row>
    <row r="236" spans="1:13" x14ac:dyDescent="0.3">
      <c r="A236" t="s">
        <v>196</v>
      </c>
      <c r="B236" s="4">
        <v>45314</v>
      </c>
      <c r="C236" s="6">
        <v>0.69861111111111107</v>
      </c>
      <c r="D236" t="s">
        <v>197</v>
      </c>
      <c r="E236" t="s">
        <v>39</v>
      </c>
      <c r="F236">
        <v>6</v>
      </c>
      <c r="G236" t="s">
        <v>35</v>
      </c>
      <c r="H236" t="s">
        <v>198</v>
      </c>
      <c r="I236" t="s">
        <v>41</v>
      </c>
      <c r="K236">
        <v>39</v>
      </c>
      <c r="L236" t="s">
        <v>52</v>
      </c>
      <c r="M236" t="s">
        <v>32</v>
      </c>
    </row>
    <row r="237" spans="1:13" x14ac:dyDescent="0.3">
      <c r="A237" t="s">
        <v>645</v>
      </c>
      <c r="B237" s="4">
        <v>45301</v>
      </c>
      <c r="C237" s="6">
        <v>0.59513888888888888</v>
      </c>
      <c r="D237" t="s">
        <v>646</v>
      </c>
      <c r="E237" t="s">
        <v>23</v>
      </c>
      <c r="F237">
        <v>51</v>
      </c>
      <c r="G237" t="s">
        <v>24</v>
      </c>
      <c r="H237" t="s">
        <v>198</v>
      </c>
      <c r="I237" t="s">
        <v>26</v>
      </c>
      <c r="K237">
        <v>60</v>
      </c>
      <c r="L237" t="s">
        <v>59</v>
      </c>
      <c r="M237" t="s">
        <v>32</v>
      </c>
    </row>
    <row r="238" spans="1:13" x14ac:dyDescent="0.3">
      <c r="A238" t="s">
        <v>647</v>
      </c>
      <c r="B238" s="4">
        <v>45294</v>
      </c>
      <c r="C238" s="6">
        <v>0.10833333333333334</v>
      </c>
      <c r="D238" t="s">
        <v>648</v>
      </c>
      <c r="E238" t="s">
        <v>39</v>
      </c>
      <c r="F238">
        <v>12</v>
      </c>
      <c r="G238" t="s">
        <v>35</v>
      </c>
      <c r="H238" t="s">
        <v>636</v>
      </c>
      <c r="I238" t="s">
        <v>41</v>
      </c>
      <c r="J238">
        <v>4</v>
      </c>
      <c r="K238">
        <v>52</v>
      </c>
      <c r="L238" t="s">
        <v>42</v>
      </c>
      <c r="M238" t="s">
        <v>32</v>
      </c>
    </row>
    <row r="239" spans="1:13" x14ac:dyDescent="0.3">
      <c r="A239" t="s">
        <v>649</v>
      </c>
      <c r="B239" s="4">
        <v>45303</v>
      </c>
      <c r="C239" s="6">
        <v>0.95972222222222225</v>
      </c>
      <c r="D239" t="s">
        <v>650</v>
      </c>
      <c r="E239" t="s">
        <v>23</v>
      </c>
      <c r="F239">
        <v>63</v>
      </c>
      <c r="G239" t="s">
        <v>35</v>
      </c>
      <c r="H239" t="s">
        <v>67</v>
      </c>
      <c r="I239" t="s">
        <v>26</v>
      </c>
      <c r="J239">
        <v>1</v>
      </c>
      <c r="K239">
        <v>45</v>
      </c>
      <c r="L239" t="s">
        <v>36</v>
      </c>
      <c r="M239" t="s">
        <v>32</v>
      </c>
    </row>
    <row r="240" spans="1:13" x14ac:dyDescent="0.3">
      <c r="A240" t="s">
        <v>651</v>
      </c>
      <c r="B240" s="4">
        <v>45310</v>
      </c>
      <c r="C240" s="6">
        <v>0.11805555555555555</v>
      </c>
      <c r="D240" t="s">
        <v>652</v>
      </c>
      <c r="E240" t="s">
        <v>23</v>
      </c>
      <c r="F240">
        <v>16</v>
      </c>
      <c r="G240" t="s">
        <v>75</v>
      </c>
      <c r="H240" t="s">
        <v>62</v>
      </c>
      <c r="I240" t="s">
        <v>26</v>
      </c>
      <c r="J240">
        <v>3</v>
      </c>
      <c r="K240">
        <v>44</v>
      </c>
      <c r="L240" t="s">
        <v>42</v>
      </c>
      <c r="M240" t="s">
        <v>32</v>
      </c>
    </row>
    <row r="241" spans="1:13" x14ac:dyDescent="0.3">
      <c r="A241" t="s">
        <v>653</v>
      </c>
      <c r="B241" s="4">
        <v>45315</v>
      </c>
      <c r="C241" s="6">
        <v>0.44722222222222224</v>
      </c>
      <c r="D241" t="s">
        <v>654</v>
      </c>
      <c r="E241" t="s">
        <v>39</v>
      </c>
      <c r="F241">
        <v>33</v>
      </c>
      <c r="G241" t="s">
        <v>35</v>
      </c>
      <c r="H241" t="s">
        <v>72</v>
      </c>
      <c r="I241" t="s">
        <v>26</v>
      </c>
      <c r="J241">
        <v>5</v>
      </c>
      <c r="K241">
        <v>36</v>
      </c>
      <c r="L241" t="s">
        <v>31</v>
      </c>
      <c r="M241" t="s">
        <v>32</v>
      </c>
    </row>
    <row r="242" spans="1:13" x14ac:dyDescent="0.3">
      <c r="A242" t="s">
        <v>655</v>
      </c>
      <c r="B242" s="4">
        <v>45295</v>
      </c>
      <c r="C242" s="6">
        <v>9.0277777777777769E-3</v>
      </c>
      <c r="D242" t="s">
        <v>656</v>
      </c>
      <c r="E242" t="s">
        <v>39</v>
      </c>
      <c r="F242">
        <v>43</v>
      </c>
      <c r="G242" t="s">
        <v>35</v>
      </c>
      <c r="H242" t="s">
        <v>62</v>
      </c>
      <c r="I242" t="s">
        <v>26</v>
      </c>
      <c r="J242">
        <v>10</v>
      </c>
      <c r="K242">
        <v>32</v>
      </c>
      <c r="L242" t="s">
        <v>27</v>
      </c>
      <c r="M242" t="s">
        <v>32</v>
      </c>
    </row>
    <row r="243" spans="1:13" x14ac:dyDescent="0.3">
      <c r="A243" t="s">
        <v>657</v>
      </c>
      <c r="B243" s="4">
        <v>45308</v>
      </c>
      <c r="C243" s="6">
        <v>0.41041666666666665</v>
      </c>
      <c r="D243" t="s">
        <v>658</v>
      </c>
      <c r="E243" t="s">
        <v>39</v>
      </c>
      <c r="F243">
        <v>71</v>
      </c>
      <c r="G243" t="s">
        <v>149</v>
      </c>
      <c r="H243" t="s">
        <v>67</v>
      </c>
      <c r="I243" t="s">
        <v>26</v>
      </c>
      <c r="J243">
        <v>4</v>
      </c>
      <c r="K243">
        <v>55</v>
      </c>
      <c r="L243" t="s">
        <v>82</v>
      </c>
      <c r="M243" t="s">
        <v>32</v>
      </c>
    </row>
    <row r="244" spans="1:13" x14ac:dyDescent="0.3">
      <c r="A244" t="s">
        <v>659</v>
      </c>
      <c r="B244" s="4">
        <v>45305</v>
      </c>
      <c r="C244" s="6">
        <v>0.24652777777777779</v>
      </c>
      <c r="D244" t="s">
        <v>660</v>
      </c>
      <c r="E244" t="s">
        <v>23</v>
      </c>
      <c r="F244">
        <v>36</v>
      </c>
      <c r="G244" t="s">
        <v>24</v>
      </c>
      <c r="H244" t="s">
        <v>62</v>
      </c>
      <c r="I244" t="s">
        <v>26</v>
      </c>
      <c r="J244">
        <v>3</v>
      </c>
      <c r="K244">
        <v>33</v>
      </c>
      <c r="L244" t="s">
        <v>31</v>
      </c>
      <c r="M244" t="s">
        <v>32</v>
      </c>
    </row>
    <row r="245" spans="1:13" x14ac:dyDescent="0.3">
      <c r="A245" t="s">
        <v>661</v>
      </c>
      <c r="B245" s="4">
        <v>45307</v>
      </c>
      <c r="C245" s="6">
        <v>0.69861111111111107</v>
      </c>
      <c r="D245" t="s">
        <v>662</v>
      </c>
      <c r="E245" t="s">
        <v>23</v>
      </c>
      <c r="F245">
        <v>37</v>
      </c>
      <c r="G245" t="s">
        <v>24</v>
      </c>
      <c r="H245" t="s">
        <v>198</v>
      </c>
      <c r="I245" t="s">
        <v>26</v>
      </c>
      <c r="J245">
        <v>6</v>
      </c>
      <c r="K245">
        <v>56</v>
      </c>
      <c r="L245" t="s">
        <v>31</v>
      </c>
      <c r="M245" t="s">
        <v>32</v>
      </c>
    </row>
    <row r="246" spans="1:13" x14ac:dyDescent="0.3">
      <c r="A246" t="s">
        <v>663</v>
      </c>
      <c r="B246" s="4">
        <v>45299</v>
      </c>
      <c r="C246" s="6">
        <v>0.77013888888888893</v>
      </c>
      <c r="D246" t="s">
        <v>664</v>
      </c>
      <c r="E246" t="s">
        <v>39</v>
      </c>
      <c r="F246">
        <v>78</v>
      </c>
      <c r="G246" t="s">
        <v>24</v>
      </c>
      <c r="H246" t="s">
        <v>62</v>
      </c>
      <c r="I246" t="s">
        <v>26</v>
      </c>
      <c r="J246">
        <v>4</v>
      </c>
      <c r="K246">
        <v>49</v>
      </c>
      <c r="L246" t="s">
        <v>82</v>
      </c>
      <c r="M246" t="s">
        <v>32</v>
      </c>
    </row>
    <row r="247" spans="1:13" x14ac:dyDescent="0.3">
      <c r="A247" t="s">
        <v>665</v>
      </c>
      <c r="B247" s="4">
        <v>45305</v>
      </c>
      <c r="C247" s="6">
        <v>5.2777777777777778E-2</v>
      </c>
      <c r="D247" t="s">
        <v>666</v>
      </c>
      <c r="E247" t="s">
        <v>39</v>
      </c>
      <c r="F247">
        <v>45</v>
      </c>
      <c r="G247" t="s">
        <v>35</v>
      </c>
      <c r="H247" t="s">
        <v>58</v>
      </c>
      <c r="I247" t="s">
        <v>41</v>
      </c>
      <c r="J247">
        <v>0</v>
      </c>
      <c r="K247">
        <v>41</v>
      </c>
      <c r="L247" t="s">
        <v>27</v>
      </c>
      <c r="M247" t="s">
        <v>32</v>
      </c>
    </row>
    <row r="248" spans="1:13" x14ac:dyDescent="0.3">
      <c r="A248" t="s">
        <v>667</v>
      </c>
      <c r="B248" s="4">
        <v>45313</v>
      </c>
      <c r="C248" s="6">
        <v>5.5555555555555552E-2</v>
      </c>
      <c r="D248" t="s">
        <v>668</v>
      </c>
      <c r="E248" t="s">
        <v>39</v>
      </c>
      <c r="F248">
        <v>20</v>
      </c>
      <c r="G248" t="s">
        <v>35</v>
      </c>
      <c r="H248" t="s">
        <v>58</v>
      </c>
      <c r="I248" t="s">
        <v>41</v>
      </c>
      <c r="J248">
        <v>10</v>
      </c>
      <c r="K248">
        <v>56</v>
      </c>
      <c r="L248" t="s">
        <v>42</v>
      </c>
      <c r="M248" t="s">
        <v>32</v>
      </c>
    </row>
    <row r="249" spans="1:13" x14ac:dyDescent="0.3">
      <c r="A249" t="s">
        <v>201</v>
      </c>
      <c r="B249" s="4">
        <v>45295</v>
      </c>
      <c r="C249" s="6">
        <v>0.62083333333333335</v>
      </c>
      <c r="D249" t="s">
        <v>202</v>
      </c>
      <c r="E249" t="s">
        <v>23</v>
      </c>
      <c r="F249">
        <v>6</v>
      </c>
      <c r="G249" t="s">
        <v>35</v>
      </c>
      <c r="H249" t="s">
        <v>58</v>
      </c>
      <c r="I249" t="s">
        <v>26</v>
      </c>
      <c r="J249">
        <v>6</v>
      </c>
      <c r="K249">
        <v>42</v>
      </c>
      <c r="L249" t="s">
        <v>52</v>
      </c>
      <c r="M249" t="s">
        <v>32</v>
      </c>
    </row>
    <row r="250" spans="1:13" x14ac:dyDescent="0.3">
      <c r="A250" t="s">
        <v>669</v>
      </c>
      <c r="B250" s="4">
        <v>45309</v>
      </c>
      <c r="C250" s="6">
        <v>0.74652777777777779</v>
      </c>
      <c r="D250" t="s">
        <v>670</v>
      </c>
      <c r="E250" t="s">
        <v>39</v>
      </c>
      <c r="F250">
        <v>15</v>
      </c>
      <c r="G250" t="s">
        <v>35</v>
      </c>
      <c r="H250" t="s">
        <v>58</v>
      </c>
      <c r="I250" t="s">
        <v>26</v>
      </c>
      <c r="J250">
        <v>0</v>
      </c>
      <c r="K250">
        <v>43</v>
      </c>
      <c r="L250" t="s">
        <v>42</v>
      </c>
      <c r="M250" t="s">
        <v>32</v>
      </c>
    </row>
    <row r="251" spans="1:13" x14ac:dyDescent="0.3">
      <c r="A251" t="s">
        <v>671</v>
      </c>
      <c r="B251" s="4">
        <v>45320</v>
      </c>
      <c r="C251" s="6">
        <v>0.98333333333333328</v>
      </c>
      <c r="D251" t="s">
        <v>672</v>
      </c>
      <c r="E251" t="s">
        <v>23</v>
      </c>
      <c r="F251">
        <v>44</v>
      </c>
      <c r="G251" t="s">
        <v>75</v>
      </c>
      <c r="H251" t="s">
        <v>58</v>
      </c>
      <c r="I251" t="s">
        <v>41</v>
      </c>
      <c r="J251">
        <v>2</v>
      </c>
      <c r="K251">
        <v>56</v>
      </c>
      <c r="L251" t="s">
        <v>27</v>
      </c>
      <c r="M251" t="s">
        <v>32</v>
      </c>
    </row>
    <row r="252" spans="1:13" x14ac:dyDescent="0.3">
      <c r="A252" t="s">
        <v>673</v>
      </c>
      <c r="B252" s="4">
        <v>45309</v>
      </c>
      <c r="C252" s="6">
        <v>0.9194444444444444</v>
      </c>
      <c r="D252" t="s">
        <v>674</v>
      </c>
      <c r="E252" t="s">
        <v>39</v>
      </c>
      <c r="F252">
        <v>66</v>
      </c>
      <c r="G252" t="s">
        <v>57</v>
      </c>
      <c r="H252" t="s">
        <v>58</v>
      </c>
      <c r="I252" t="s">
        <v>26</v>
      </c>
      <c r="J252">
        <v>10</v>
      </c>
      <c r="K252">
        <v>44</v>
      </c>
      <c r="L252" t="s">
        <v>36</v>
      </c>
      <c r="M252" t="s">
        <v>32</v>
      </c>
    </row>
    <row r="253" spans="1:13" x14ac:dyDescent="0.3">
      <c r="A253" t="s">
        <v>675</v>
      </c>
      <c r="B253" s="4">
        <v>45295</v>
      </c>
      <c r="C253" s="6">
        <v>0.1451388888888889</v>
      </c>
      <c r="D253" t="s">
        <v>676</v>
      </c>
      <c r="E253" t="s">
        <v>23</v>
      </c>
      <c r="F253">
        <v>11</v>
      </c>
      <c r="G253" t="s">
        <v>24</v>
      </c>
      <c r="H253" t="s">
        <v>58</v>
      </c>
      <c r="I253" t="s">
        <v>41</v>
      </c>
      <c r="J253">
        <v>4</v>
      </c>
      <c r="K253">
        <v>42</v>
      </c>
      <c r="L253" t="s">
        <v>42</v>
      </c>
      <c r="M253" t="s">
        <v>32</v>
      </c>
    </row>
    <row r="254" spans="1:13" x14ac:dyDescent="0.3">
      <c r="A254" t="s">
        <v>677</v>
      </c>
      <c r="B254" s="4">
        <v>45311</v>
      </c>
      <c r="C254" s="6">
        <v>0.56805555555555554</v>
      </c>
      <c r="D254" t="s">
        <v>678</v>
      </c>
      <c r="E254" t="s">
        <v>23</v>
      </c>
      <c r="F254">
        <v>49</v>
      </c>
      <c r="G254" t="s">
        <v>24</v>
      </c>
      <c r="H254" t="s">
        <v>58</v>
      </c>
      <c r="I254" t="s">
        <v>26</v>
      </c>
      <c r="J254">
        <v>9</v>
      </c>
      <c r="K254">
        <v>45</v>
      </c>
      <c r="L254" t="s">
        <v>27</v>
      </c>
      <c r="M254" t="s">
        <v>32</v>
      </c>
    </row>
    <row r="255" spans="1:13" x14ac:dyDescent="0.3">
      <c r="A255" t="s">
        <v>679</v>
      </c>
      <c r="B255" s="4">
        <v>45318</v>
      </c>
      <c r="C255" s="6">
        <v>0.18124999999999999</v>
      </c>
      <c r="D255" t="s">
        <v>680</v>
      </c>
      <c r="E255" t="s">
        <v>39</v>
      </c>
      <c r="F255">
        <v>26</v>
      </c>
      <c r="G255" t="s">
        <v>24</v>
      </c>
      <c r="H255" t="s">
        <v>58</v>
      </c>
      <c r="I255" t="s">
        <v>26</v>
      </c>
      <c r="J255">
        <v>6</v>
      </c>
      <c r="K255">
        <v>57</v>
      </c>
      <c r="L255" t="s">
        <v>46</v>
      </c>
      <c r="M255" t="s">
        <v>32</v>
      </c>
    </row>
    <row r="256" spans="1:13" x14ac:dyDescent="0.3">
      <c r="A256" t="s">
        <v>681</v>
      </c>
      <c r="B256" s="4">
        <v>45307</v>
      </c>
      <c r="C256" s="6">
        <v>0.97638888888888886</v>
      </c>
      <c r="D256" t="s">
        <v>682</v>
      </c>
      <c r="E256" t="s">
        <v>39</v>
      </c>
      <c r="F256">
        <v>76</v>
      </c>
      <c r="G256" t="s">
        <v>40</v>
      </c>
      <c r="H256" t="s">
        <v>51</v>
      </c>
      <c r="I256" t="s">
        <v>41</v>
      </c>
      <c r="J256">
        <v>8</v>
      </c>
      <c r="K256">
        <v>53</v>
      </c>
      <c r="L256" t="s">
        <v>82</v>
      </c>
      <c r="M256" t="s">
        <v>32</v>
      </c>
    </row>
    <row r="257" spans="1:13" x14ac:dyDescent="0.3">
      <c r="A257" t="s">
        <v>683</v>
      </c>
      <c r="B257" s="4">
        <v>45322</v>
      </c>
      <c r="C257" s="6">
        <v>0.34444444444444444</v>
      </c>
      <c r="D257" t="s">
        <v>684</v>
      </c>
      <c r="E257" t="s">
        <v>23</v>
      </c>
      <c r="F257">
        <v>53</v>
      </c>
      <c r="G257" t="s">
        <v>40</v>
      </c>
      <c r="H257" t="s">
        <v>51</v>
      </c>
      <c r="I257" t="s">
        <v>26</v>
      </c>
      <c r="J257">
        <v>0</v>
      </c>
      <c r="K257">
        <v>41</v>
      </c>
      <c r="L257" t="s">
        <v>59</v>
      </c>
      <c r="M257" t="s">
        <v>32</v>
      </c>
    </row>
    <row r="258" spans="1:13" x14ac:dyDescent="0.3">
      <c r="A258" t="s">
        <v>685</v>
      </c>
      <c r="B258" s="4">
        <v>45306</v>
      </c>
      <c r="C258" s="6">
        <v>0.87013888888888891</v>
      </c>
      <c r="D258" t="s">
        <v>686</v>
      </c>
      <c r="E258" t="s">
        <v>39</v>
      </c>
      <c r="F258">
        <v>65</v>
      </c>
      <c r="G258" t="s">
        <v>45</v>
      </c>
      <c r="H258" t="s">
        <v>51</v>
      </c>
      <c r="I258" t="s">
        <v>41</v>
      </c>
      <c r="J258">
        <v>1</v>
      </c>
      <c r="K258">
        <v>33</v>
      </c>
      <c r="L258" t="s">
        <v>36</v>
      </c>
      <c r="M258" t="s">
        <v>32</v>
      </c>
    </row>
    <row r="259" spans="1:13" x14ac:dyDescent="0.3">
      <c r="A259" t="s">
        <v>687</v>
      </c>
      <c r="B259" s="4">
        <v>45303</v>
      </c>
      <c r="C259" s="6">
        <v>6.2500000000000003E-3</v>
      </c>
      <c r="D259" t="s">
        <v>688</v>
      </c>
      <c r="E259" t="s">
        <v>39</v>
      </c>
      <c r="F259">
        <v>11</v>
      </c>
      <c r="G259" t="s">
        <v>45</v>
      </c>
      <c r="H259" t="s">
        <v>51</v>
      </c>
      <c r="I259" t="s">
        <v>41</v>
      </c>
      <c r="J259">
        <v>7</v>
      </c>
      <c r="K259">
        <v>40</v>
      </c>
      <c r="L259" t="s">
        <v>42</v>
      </c>
      <c r="M259" t="s">
        <v>32</v>
      </c>
    </row>
    <row r="260" spans="1:13" x14ac:dyDescent="0.3">
      <c r="A260" t="s">
        <v>689</v>
      </c>
      <c r="B260" s="4">
        <v>45304</v>
      </c>
      <c r="C260" s="6">
        <v>0.35972222222222222</v>
      </c>
      <c r="D260" t="s">
        <v>690</v>
      </c>
      <c r="E260" t="s">
        <v>23</v>
      </c>
      <c r="F260">
        <v>66</v>
      </c>
      <c r="G260" t="s">
        <v>75</v>
      </c>
      <c r="H260" t="s">
        <v>51</v>
      </c>
      <c r="I260" t="s">
        <v>41</v>
      </c>
      <c r="J260">
        <v>3</v>
      </c>
      <c r="K260">
        <v>44</v>
      </c>
      <c r="L260" t="s">
        <v>36</v>
      </c>
      <c r="M260" t="s">
        <v>32</v>
      </c>
    </row>
    <row r="261" spans="1:13" x14ac:dyDescent="0.3">
      <c r="A261" t="s">
        <v>691</v>
      </c>
      <c r="B261" s="4">
        <v>45299</v>
      </c>
      <c r="C261" s="6">
        <v>0.44513888888888886</v>
      </c>
      <c r="D261" t="s">
        <v>692</v>
      </c>
      <c r="E261" t="s">
        <v>39</v>
      </c>
      <c r="F261">
        <v>26</v>
      </c>
      <c r="G261" t="s">
        <v>57</v>
      </c>
      <c r="H261" t="s">
        <v>51</v>
      </c>
      <c r="I261" t="s">
        <v>41</v>
      </c>
      <c r="J261">
        <v>3</v>
      </c>
      <c r="K261">
        <v>53</v>
      </c>
      <c r="L261" t="s">
        <v>46</v>
      </c>
      <c r="M261" t="s">
        <v>32</v>
      </c>
    </row>
    <row r="262" spans="1:13" x14ac:dyDescent="0.3">
      <c r="A262" t="s">
        <v>693</v>
      </c>
      <c r="B262" s="4">
        <v>45311</v>
      </c>
      <c r="C262" s="6">
        <v>0.99791666666666667</v>
      </c>
      <c r="D262" t="s">
        <v>694</v>
      </c>
      <c r="E262" t="s">
        <v>23</v>
      </c>
      <c r="F262">
        <v>23</v>
      </c>
      <c r="G262" t="s">
        <v>57</v>
      </c>
      <c r="H262" t="s">
        <v>51</v>
      </c>
      <c r="I262" t="s">
        <v>26</v>
      </c>
      <c r="J262">
        <v>10</v>
      </c>
      <c r="K262">
        <v>42</v>
      </c>
      <c r="L262" t="s">
        <v>46</v>
      </c>
      <c r="M262" t="s">
        <v>32</v>
      </c>
    </row>
    <row r="263" spans="1:13" x14ac:dyDescent="0.3">
      <c r="A263" t="s">
        <v>209</v>
      </c>
      <c r="B263" s="4">
        <v>45311</v>
      </c>
      <c r="C263" s="6">
        <v>0.59652777777777777</v>
      </c>
      <c r="D263" t="s">
        <v>210</v>
      </c>
      <c r="E263" t="s">
        <v>23</v>
      </c>
      <c r="F263">
        <v>5</v>
      </c>
      <c r="G263" t="s">
        <v>35</v>
      </c>
      <c r="H263" t="s">
        <v>51</v>
      </c>
      <c r="I263" t="s">
        <v>41</v>
      </c>
      <c r="J263">
        <v>2</v>
      </c>
      <c r="K263">
        <v>56</v>
      </c>
      <c r="L263" t="s">
        <v>52</v>
      </c>
      <c r="M263" t="s">
        <v>32</v>
      </c>
    </row>
    <row r="264" spans="1:13" x14ac:dyDescent="0.3">
      <c r="A264" t="s">
        <v>695</v>
      </c>
      <c r="B264" s="4">
        <v>45311</v>
      </c>
      <c r="C264" s="6">
        <v>0.77152777777777781</v>
      </c>
      <c r="D264" t="s">
        <v>696</v>
      </c>
      <c r="E264" t="s">
        <v>23</v>
      </c>
      <c r="F264">
        <v>56</v>
      </c>
      <c r="G264" t="s">
        <v>35</v>
      </c>
      <c r="H264" t="s">
        <v>51</v>
      </c>
      <c r="I264" t="s">
        <v>41</v>
      </c>
      <c r="J264">
        <v>5</v>
      </c>
      <c r="K264">
        <v>37</v>
      </c>
      <c r="L264" t="s">
        <v>59</v>
      </c>
      <c r="M264" t="s">
        <v>32</v>
      </c>
    </row>
    <row r="265" spans="1:13" x14ac:dyDescent="0.3">
      <c r="A265" t="s">
        <v>697</v>
      </c>
      <c r="B265" s="4">
        <v>45299</v>
      </c>
      <c r="C265" s="6">
        <v>0.89166666666666672</v>
      </c>
      <c r="D265" t="s">
        <v>698</v>
      </c>
      <c r="E265" t="s">
        <v>23</v>
      </c>
      <c r="F265">
        <v>17</v>
      </c>
      <c r="G265" t="s">
        <v>35</v>
      </c>
      <c r="H265" t="s">
        <v>51</v>
      </c>
      <c r="I265" t="s">
        <v>26</v>
      </c>
      <c r="J265">
        <v>10</v>
      </c>
      <c r="K265">
        <v>58</v>
      </c>
      <c r="L265" t="s">
        <v>42</v>
      </c>
      <c r="M265" t="s">
        <v>32</v>
      </c>
    </row>
    <row r="266" spans="1:13" x14ac:dyDescent="0.3">
      <c r="A266" t="s">
        <v>699</v>
      </c>
      <c r="B266" s="4">
        <v>45313</v>
      </c>
      <c r="C266" s="6">
        <v>0.34930555555555554</v>
      </c>
      <c r="D266" t="s">
        <v>700</v>
      </c>
      <c r="E266" t="s">
        <v>39</v>
      </c>
      <c r="F266">
        <v>54</v>
      </c>
      <c r="G266" t="s">
        <v>35</v>
      </c>
      <c r="H266" t="s">
        <v>51</v>
      </c>
      <c r="I266" t="s">
        <v>26</v>
      </c>
      <c r="J266">
        <v>5</v>
      </c>
      <c r="K266">
        <v>36</v>
      </c>
      <c r="L266" t="s">
        <v>59</v>
      </c>
      <c r="M266" t="s">
        <v>32</v>
      </c>
    </row>
    <row r="267" spans="1:13" x14ac:dyDescent="0.3">
      <c r="A267" t="s">
        <v>701</v>
      </c>
      <c r="B267" s="4">
        <v>45293</v>
      </c>
      <c r="C267" s="6">
        <v>0.84305555555555556</v>
      </c>
      <c r="D267" t="s">
        <v>702</v>
      </c>
      <c r="E267" t="s">
        <v>39</v>
      </c>
      <c r="F267">
        <v>43</v>
      </c>
      <c r="G267" t="s">
        <v>24</v>
      </c>
      <c r="H267" t="s">
        <v>51</v>
      </c>
      <c r="I267" t="s">
        <v>41</v>
      </c>
      <c r="J267">
        <v>0</v>
      </c>
      <c r="K267">
        <v>41</v>
      </c>
      <c r="L267" t="s">
        <v>27</v>
      </c>
      <c r="M267" t="s">
        <v>32</v>
      </c>
    </row>
    <row r="268" spans="1:13" x14ac:dyDescent="0.3">
      <c r="A268" t="s">
        <v>703</v>
      </c>
      <c r="B268" s="4">
        <v>45305</v>
      </c>
      <c r="C268" s="6">
        <v>0.96180555555555558</v>
      </c>
      <c r="D268" t="s">
        <v>704</v>
      </c>
      <c r="E268" t="s">
        <v>39</v>
      </c>
      <c r="F268">
        <v>22</v>
      </c>
      <c r="G268" t="s">
        <v>24</v>
      </c>
      <c r="H268" t="s">
        <v>51</v>
      </c>
      <c r="I268" t="s">
        <v>41</v>
      </c>
      <c r="J268">
        <v>6</v>
      </c>
      <c r="K268">
        <v>32</v>
      </c>
      <c r="L268" t="s">
        <v>46</v>
      </c>
      <c r="M268" t="s">
        <v>32</v>
      </c>
    </row>
    <row r="269" spans="1:13" x14ac:dyDescent="0.3">
      <c r="A269" t="s">
        <v>705</v>
      </c>
      <c r="B269" s="4">
        <v>45318</v>
      </c>
      <c r="C269" s="6">
        <v>0.32916666666666666</v>
      </c>
      <c r="D269" t="s">
        <v>706</v>
      </c>
      <c r="E269" t="s">
        <v>39</v>
      </c>
      <c r="F269">
        <v>53</v>
      </c>
      <c r="G269" t="s">
        <v>24</v>
      </c>
      <c r="H269" t="s">
        <v>51</v>
      </c>
      <c r="I269" t="s">
        <v>26</v>
      </c>
      <c r="J269">
        <v>6</v>
      </c>
      <c r="K269">
        <v>57</v>
      </c>
      <c r="L269" t="s">
        <v>59</v>
      </c>
      <c r="M269" t="s">
        <v>32</v>
      </c>
    </row>
    <row r="270" spans="1:13" x14ac:dyDescent="0.3">
      <c r="A270" t="s">
        <v>707</v>
      </c>
      <c r="B270" s="4">
        <v>45304</v>
      </c>
      <c r="C270" s="6">
        <v>0.45833333333333331</v>
      </c>
      <c r="D270" t="s">
        <v>708</v>
      </c>
      <c r="E270" t="s">
        <v>23</v>
      </c>
      <c r="F270">
        <v>71</v>
      </c>
      <c r="G270" t="s">
        <v>57</v>
      </c>
      <c r="H270" t="s">
        <v>25</v>
      </c>
      <c r="I270" t="s">
        <v>41</v>
      </c>
      <c r="J270">
        <v>6</v>
      </c>
      <c r="K270">
        <v>42</v>
      </c>
      <c r="L270" t="s">
        <v>82</v>
      </c>
      <c r="M270" t="s">
        <v>32</v>
      </c>
    </row>
    <row r="271" spans="1:13" x14ac:dyDescent="0.3">
      <c r="A271" t="s">
        <v>215</v>
      </c>
      <c r="B271" s="4">
        <v>45292</v>
      </c>
      <c r="C271" s="6">
        <v>0.9916666666666667</v>
      </c>
      <c r="D271" t="s">
        <v>216</v>
      </c>
      <c r="E271" t="s">
        <v>23</v>
      </c>
      <c r="F271">
        <v>5</v>
      </c>
      <c r="G271" t="s">
        <v>57</v>
      </c>
      <c r="H271" t="s">
        <v>25</v>
      </c>
      <c r="I271" t="s">
        <v>26</v>
      </c>
      <c r="J271">
        <v>3</v>
      </c>
      <c r="K271">
        <v>47</v>
      </c>
      <c r="L271" t="s">
        <v>52</v>
      </c>
      <c r="M271" t="s">
        <v>32</v>
      </c>
    </row>
    <row r="272" spans="1:13" x14ac:dyDescent="0.3">
      <c r="A272" t="s">
        <v>709</v>
      </c>
      <c r="B272" s="4">
        <v>45307</v>
      </c>
      <c r="C272" s="6">
        <v>0.45416666666666666</v>
      </c>
      <c r="D272" t="s">
        <v>710</v>
      </c>
      <c r="E272" t="s">
        <v>23</v>
      </c>
      <c r="F272">
        <v>50</v>
      </c>
      <c r="G272" t="s">
        <v>45</v>
      </c>
      <c r="H272" t="s">
        <v>25</v>
      </c>
      <c r="I272" t="s">
        <v>26</v>
      </c>
      <c r="J272">
        <v>7</v>
      </c>
      <c r="K272">
        <v>35</v>
      </c>
      <c r="L272" t="s">
        <v>27</v>
      </c>
      <c r="M272" t="s">
        <v>32</v>
      </c>
    </row>
    <row r="273" spans="1:13" x14ac:dyDescent="0.3">
      <c r="A273" t="s">
        <v>711</v>
      </c>
      <c r="B273" s="4">
        <v>45315</v>
      </c>
      <c r="C273" s="6">
        <v>0.95625000000000004</v>
      </c>
      <c r="D273" t="s">
        <v>712</v>
      </c>
      <c r="E273" t="s">
        <v>23</v>
      </c>
      <c r="F273">
        <v>79</v>
      </c>
      <c r="G273" t="s">
        <v>45</v>
      </c>
      <c r="H273" t="s">
        <v>25</v>
      </c>
      <c r="I273" t="s">
        <v>41</v>
      </c>
      <c r="J273">
        <v>7</v>
      </c>
      <c r="K273">
        <v>49</v>
      </c>
      <c r="L273" t="s">
        <v>82</v>
      </c>
      <c r="M273" t="s">
        <v>32</v>
      </c>
    </row>
    <row r="274" spans="1:13" x14ac:dyDescent="0.3">
      <c r="A274" t="s">
        <v>217</v>
      </c>
      <c r="B274" s="4">
        <v>45319</v>
      </c>
      <c r="C274" s="6">
        <v>0.52083333333333337</v>
      </c>
      <c r="D274" t="s">
        <v>218</v>
      </c>
      <c r="E274" t="s">
        <v>39</v>
      </c>
      <c r="F274">
        <v>6</v>
      </c>
      <c r="G274" t="s">
        <v>45</v>
      </c>
      <c r="H274" t="s">
        <v>25</v>
      </c>
      <c r="I274" t="s">
        <v>41</v>
      </c>
      <c r="J274">
        <v>3</v>
      </c>
      <c r="K274">
        <v>49</v>
      </c>
      <c r="L274" t="s">
        <v>52</v>
      </c>
      <c r="M274" t="s">
        <v>32</v>
      </c>
    </row>
    <row r="275" spans="1:13" x14ac:dyDescent="0.3">
      <c r="A275" t="s">
        <v>713</v>
      </c>
      <c r="B275" s="4">
        <v>45308</v>
      </c>
      <c r="C275" s="6">
        <v>0.71388888888888891</v>
      </c>
      <c r="D275" t="s">
        <v>714</v>
      </c>
      <c r="E275" t="s">
        <v>23</v>
      </c>
      <c r="F275">
        <v>47</v>
      </c>
      <c r="G275" t="s">
        <v>45</v>
      </c>
      <c r="H275" t="s">
        <v>25</v>
      </c>
      <c r="I275" t="s">
        <v>26</v>
      </c>
      <c r="J275">
        <v>0</v>
      </c>
      <c r="K275">
        <v>52</v>
      </c>
      <c r="L275" t="s">
        <v>27</v>
      </c>
      <c r="M275" t="s">
        <v>32</v>
      </c>
    </row>
    <row r="276" spans="1:13" x14ac:dyDescent="0.3">
      <c r="A276" t="s">
        <v>715</v>
      </c>
      <c r="B276" s="4">
        <v>45302</v>
      </c>
      <c r="C276" s="6">
        <v>0.52847222222222223</v>
      </c>
      <c r="D276" t="s">
        <v>716</v>
      </c>
      <c r="E276" t="s">
        <v>39</v>
      </c>
      <c r="F276">
        <v>77</v>
      </c>
      <c r="G276" t="s">
        <v>45</v>
      </c>
      <c r="H276" t="s">
        <v>25</v>
      </c>
      <c r="I276" t="s">
        <v>26</v>
      </c>
      <c r="J276">
        <v>4</v>
      </c>
      <c r="K276">
        <v>44</v>
      </c>
      <c r="L276" t="s">
        <v>82</v>
      </c>
      <c r="M276" t="s">
        <v>32</v>
      </c>
    </row>
    <row r="277" spans="1:13" x14ac:dyDescent="0.3">
      <c r="A277" t="s">
        <v>717</v>
      </c>
      <c r="B277" s="4">
        <v>45304</v>
      </c>
      <c r="C277" s="6">
        <v>0.34375</v>
      </c>
      <c r="D277" t="s">
        <v>718</v>
      </c>
      <c r="E277" t="s">
        <v>39</v>
      </c>
      <c r="F277">
        <v>28</v>
      </c>
      <c r="G277" t="s">
        <v>45</v>
      </c>
      <c r="H277" t="s">
        <v>25</v>
      </c>
      <c r="I277" t="s">
        <v>26</v>
      </c>
      <c r="J277">
        <v>9</v>
      </c>
      <c r="K277">
        <v>55</v>
      </c>
      <c r="L277" t="s">
        <v>46</v>
      </c>
      <c r="M277" t="s">
        <v>32</v>
      </c>
    </row>
    <row r="278" spans="1:13" x14ac:dyDescent="0.3">
      <c r="A278" t="s">
        <v>719</v>
      </c>
      <c r="B278" s="4">
        <v>45302</v>
      </c>
      <c r="C278" s="6">
        <v>0.93194444444444446</v>
      </c>
      <c r="D278" t="s">
        <v>720</v>
      </c>
      <c r="E278" t="s">
        <v>39</v>
      </c>
      <c r="F278">
        <v>42</v>
      </c>
      <c r="G278" t="s">
        <v>45</v>
      </c>
      <c r="H278" t="s">
        <v>25</v>
      </c>
      <c r="I278" t="s">
        <v>26</v>
      </c>
      <c r="J278">
        <v>10</v>
      </c>
      <c r="K278">
        <v>57</v>
      </c>
      <c r="L278" t="s">
        <v>27</v>
      </c>
      <c r="M278" t="s">
        <v>32</v>
      </c>
    </row>
    <row r="279" spans="1:13" x14ac:dyDescent="0.3">
      <c r="A279" t="s">
        <v>721</v>
      </c>
      <c r="B279" s="4">
        <v>45308</v>
      </c>
      <c r="C279" s="6">
        <v>0.73402777777777772</v>
      </c>
      <c r="D279" t="s">
        <v>722</v>
      </c>
      <c r="E279" t="s">
        <v>23</v>
      </c>
      <c r="F279">
        <v>32</v>
      </c>
      <c r="G279" t="s">
        <v>75</v>
      </c>
      <c r="H279" t="s">
        <v>25</v>
      </c>
      <c r="I279" t="s">
        <v>41</v>
      </c>
      <c r="J279">
        <v>6</v>
      </c>
      <c r="K279">
        <v>45</v>
      </c>
      <c r="L279" t="s">
        <v>31</v>
      </c>
      <c r="M279" t="s">
        <v>32</v>
      </c>
    </row>
    <row r="280" spans="1:13" x14ac:dyDescent="0.3">
      <c r="A280" t="s">
        <v>723</v>
      </c>
      <c r="B280" s="4">
        <v>45319</v>
      </c>
      <c r="C280" s="6">
        <v>0.41388888888888886</v>
      </c>
      <c r="D280" t="s">
        <v>724</v>
      </c>
      <c r="E280" t="s">
        <v>39</v>
      </c>
      <c r="F280">
        <v>12</v>
      </c>
      <c r="G280" t="s">
        <v>75</v>
      </c>
      <c r="H280" t="s">
        <v>25</v>
      </c>
      <c r="I280" t="s">
        <v>41</v>
      </c>
      <c r="J280">
        <v>4</v>
      </c>
      <c r="K280">
        <v>39</v>
      </c>
      <c r="L280" t="s">
        <v>42</v>
      </c>
      <c r="M280" t="s">
        <v>32</v>
      </c>
    </row>
    <row r="281" spans="1:13" x14ac:dyDescent="0.3">
      <c r="A281" t="s">
        <v>725</v>
      </c>
      <c r="B281" s="4">
        <v>45316</v>
      </c>
      <c r="C281" s="6">
        <v>0.42986111111111114</v>
      </c>
      <c r="D281" t="s">
        <v>726</v>
      </c>
      <c r="E281" t="s">
        <v>39</v>
      </c>
      <c r="F281">
        <v>35</v>
      </c>
      <c r="G281" t="s">
        <v>149</v>
      </c>
      <c r="H281" t="s">
        <v>25</v>
      </c>
      <c r="I281" t="s">
        <v>41</v>
      </c>
      <c r="J281">
        <v>9</v>
      </c>
      <c r="K281">
        <v>51</v>
      </c>
      <c r="L281" t="s">
        <v>31</v>
      </c>
      <c r="M281" t="s">
        <v>32</v>
      </c>
    </row>
    <row r="282" spans="1:13" x14ac:dyDescent="0.3">
      <c r="A282" t="s">
        <v>727</v>
      </c>
      <c r="B282" s="4">
        <v>45292</v>
      </c>
      <c r="C282" s="6">
        <v>0.46597222222222223</v>
      </c>
      <c r="D282" t="s">
        <v>728</v>
      </c>
      <c r="E282" t="s">
        <v>39</v>
      </c>
      <c r="F282">
        <v>55</v>
      </c>
      <c r="G282" t="s">
        <v>149</v>
      </c>
      <c r="H282" t="s">
        <v>25</v>
      </c>
      <c r="I282" t="s">
        <v>26</v>
      </c>
      <c r="J282">
        <v>10</v>
      </c>
      <c r="K282">
        <v>59</v>
      </c>
      <c r="L282" t="s">
        <v>59</v>
      </c>
      <c r="M282" t="s">
        <v>32</v>
      </c>
    </row>
    <row r="283" spans="1:13" x14ac:dyDescent="0.3">
      <c r="A283" t="s">
        <v>729</v>
      </c>
      <c r="B283" s="4">
        <v>45318</v>
      </c>
      <c r="C283" s="6">
        <v>0.96805555555555556</v>
      </c>
      <c r="D283" t="s">
        <v>730</v>
      </c>
      <c r="E283" t="s">
        <v>23</v>
      </c>
      <c r="F283">
        <v>57</v>
      </c>
      <c r="G283" t="s">
        <v>40</v>
      </c>
      <c r="H283" t="s">
        <v>25</v>
      </c>
      <c r="I283" t="s">
        <v>41</v>
      </c>
      <c r="J283">
        <v>5</v>
      </c>
      <c r="K283">
        <v>49</v>
      </c>
      <c r="L283" t="s">
        <v>59</v>
      </c>
      <c r="M283" t="s">
        <v>32</v>
      </c>
    </row>
    <row r="284" spans="1:13" x14ac:dyDescent="0.3">
      <c r="A284" t="s">
        <v>731</v>
      </c>
      <c r="B284" s="4">
        <v>45311</v>
      </c>
      <c r="C284" s="6">
        <v>0.51041666666666663</v>
      </c>
      <c r="D284" t="s">
        <v>732</v>
      </c>
      <c r="E284" t="s">
        <v>23</v>
      </c>
      <c r="F284">
        <v>35</v>
      </c>
      <c r="G284" t="s">
        <v>40</v>
      </c>
      <c r="H284" t="s">
        <v>25</v>
      </c>
      <c r="I284" t="s">
        <v>41</v>
      </c>
      <c r="J284">
        <v>6</v>
      </c>
      <c r="K284">
        <v>33</v>
      </c>
      <c r="L284" t="s">
        <v>31</v>
      </c>
      <c r="M284" t="s">
        <v>32</v>
      </c>
    </row>
    <row r="285" spans="1:13" x14ac:dyDescent="0.3">
      <c r="A285" t="s">
        <v>733</v>
      </c>
      <c r="B285" s="4">
        <v>45311</v>
      </c>
      <c r="C285" s="6">
        <v>2.6388888888888889E-2</v>
      </c>
      <c r="D285" t="s">
        <v>734</v>
      </c>
      <c r="E285" t="s">
        <v>39</v>
      </c>
      <c r="F285">
        <v>13</v>
      </c>
      <c r="G285" t="s">
        <v>40</v>
      </c>
      <c r="H285" t="s">
        <v>25</v>
      </c>
      <c r="I285" t="s">
        <v>41</v>
      </c>
      <c r="J285">
        <v>1</v>
      </c>
      <c r="K285">
        <v>60</v>
      </c>
      <c r="L285" t="s">
        <v>42</v>
      </c>
      <c r="M285" t="s">
        <v>32</v>
      </c>
    </row>
    <row r="286" spans="1:13" x14ac:dyDescent="0.3">
      <c r="A286" t="s">
        <v>735</v>
      </c>
      <c r="B286" s="4">
        <v>45297</v>
      </c>
      <c r="C286" s="6">
        <v>0.35069444444444442</v>
      </c>
      <c r="D286" t="s">
        <v>736</v>
      </c>
      <c r="E286" t="s">
        <v>39</v>
      </c>
      <c r="F286">
        <v>28</v>
      </c>
      <c r="G286" t="s">
        <v>40</v>
      </c>
      <c r="H286" t="s">
        <v>25</v>
      </c>
      <c r="I286" t="s">
        <v>41</v>
      </c>
      <c r="J286">
        <v>7</v>
      </c>
      <c r="K286">
        <v>60</v>
      </c>
      <c r="L286" t="s">
        <v>46</v>
      </c>
      <c r="M286" t="s">
        <v>32</v>
      </c>
    </row>
    <row r="287" spans="1:13" x14ac:dyDescent="0.3">
      <c r="A287" t="s">
        <v>737</v>
      </c>
      <c r="B287" s="4">
        <v>45301</v>
      </c>
      <c r="C287" s="6">
        <v>0.64166666666666672</v>
      </c>
      <c r="D287" t="s">
        <v>738</v>
      </c>
      <c r="E287" t="s">
        <v>39</v>
      </c>
      <c r="F287">
        <v>17</v>
      </c>
      <c r="G287" t="s">
        <v>40</v>
      </c>
      <c r="H287" t="s">
        <v>25</v>
      </c>
      <c r="I287" t="s">
        <v>41</v>
      </c>
      <c r="J287">
        <v>8</v>
      </c>
      <c r="K287">
        <v>47</v>
      </c>
      <c r="L287" t="s">
        <v>42</v>
      </c>
      <c r="M287" t="s">
        <v>32</v>
      </c>
    </row>
    <row r="288" spans="1:13" x14ac:dyDescent="0.3">
      <c r="A288" t="s">
        <v>231</v>
      </c>
      <c r="B288" s="4">
        <v>45307</v>
      </c>
      <c r="C288" s="6">
        <v>0.49166666666666664</v>
      </c>
      <c r="D288" t="s">
        <v>232</v>
      </c>
      <c r="E288" t="s">
        <v>23</v>
      </c>
      <c r="F288">
        <v>6</v>
      </c>
      <c r="G288" t="s">
        <v>40</v>
      </c>
      <c r="H288" t="s">
        <v>25</v>
      </c>
      <c r="I288" t="s">
        <v>26</v>
      </c>
      <c r="J288">
        <v>1</v>
      </c>
      <c r="K288">
        <v>58</v>
      </c>
      <c r="L288" t="s">
        <v>52</v>
      </c>
      <c r="M288" t="s">
        <v>32</v>
      </c>
    </row>
    <row r="289" spans="1:13" x14ac:dyDescent="0.3">
      <c r="A289" t="s">
        <v>739</v>
      </c>
      <c r="B289" s="4">
        <v>45308</v>
      </c>
      <c r="C289" s="6">
        <v>7.6388888888888895E-2</v>
      </c>
      <c r="D289" t="s">
        <v>740</v>
      </c>
      <c r="E289" t="s">
        <v>23</v>
      </c>
      <c r="F289">
        <v>23</v>
      </c>
      <c r="G289" t="s">
        <v>40</v>
      </c>
      <c r="H289" t="s">
        <v>25</v>
      </c>
      <c r="I289" t="s">
        <v>26</v>
      </c>
      <c r="J289">
        <v>1</v>
      </c>
      <c r="K289">
        <v>34</v>
      </c>
      <c r="L289" t="s">
        <v>46</v>
      </c>
      <c r="M289" t="s">
        <v>32</v>
      </c>
    </row>
    <row r="290" spans="1:13" x14ac:dyDescent="0.3">
      <c r="A290" t="s">
        <v>233</v>
      </c>
      <c r="B290" s="4">
        <v>45299</v>
      </c>
      <c r="C290" s="6">
        <v>0.71597222222222223</v>
      </c>
      <c r="D290" t="s">
        <v>234</v>
      </c>
      <c r="E290" t="s">
        <v>23</v>
      </c>
      <c r="F290">
        <v>2</v>
      </c>
      <c r="G290" t="s">
        <v>40</v>
      </c>
      <c r="H290" t="s">
        <v>25</v>
      </c>
      <c r="I290" t="s">
        <v>26</v>
      </c>
      <c r="J290">
        <v>8</v>
      </c>
      <c r="K290">
        <v>54</v>
      </c>
      <c r="L290" t="s">
        <v>52</v>
      </c>
      <c r="M290" t="s">
        <v>32</v>
      </c>
    </row>
    <row r="291" spans="1:13" x14ac:dyDescent="0.3">
      <c r="A291" t="s">
        <v>741</v>
      </c>
      <c r="B291" s="4">
        <v>45305</v>
      </c>
      <c r="C291" s="6">
        <v>0.24722222222222223</v>
      </c>
      <c r="D291" t="s">
        <v>742</v>
      </c>
      <c r="E291" t="s">
        <v>39</v>
      </c>
      <c r="F291">
        <v>38</v>
      </c>
      <c r="G291" t="s">
        <v>40</v>
      </c>
      <c r="H291" t="s">
        <v>25</v>
      </c>
      <c r="I291" t="s">
        <v>26</v>
      </c>
      <c r="J291">
        <v>1</v>
      </c>
      <c r="K291">
        <v>37</v>
      </c>
      <c r="L291" t="s">
        <v>31</v>
      </c>
      <c r="M291" t="s">
        <v>32</v>
      </c>
    </row>
    <row r="292" spans="1:13" x14ac:dyDescent="0.3">
      <c r="A292" t="s">
        <v>743</v>
      </c>
      <c r="B292" s="4">
        <v>45310</v>
      </c>
      <c r="C292" s="6">
        <v>0.14444444444444443</v>
      </c>
      <c r="D292" t="s">
        <v>744</v>
      </c>
      <c r="E292" t="s">
        <v>23</v>
      </c>
      <c r="F292">
        <v>19</v>
      </c>
      <c r="G292" t="s">
        <v>35</v>
      </c>
      <c r="H292" t="s">
        <v>25</v>
      </c>
      <c r="I292" t="s">
        <v>41</v>
      </c>
      <c r="J292">
        <v>5</v>
      </c>
      <c r="K292">
        <v>42</v>
      </c>
      <c r="L292" t="s">
        <v>42</v>
      </c>
      <c r="M292" t="s">
        <v>32</v>
      </c>
    </row>
    <row r="293" spans="1:13" x14ac:dyDescent="0.3">
      <c r="A293" t="s">
        <v>745</v>
      </c>
      <c r="B293" s="4">
        <v>45314</v>
      </c>
      <c r="C293" s="6">
        <v>1.1805555555555555E-2</v>
      </c>
      <c r="D293" t="s">
        <v>746</v>
      </c>
      <c r="E293" t="s">
        <v>23</v>
      </c>
      <c r="F293">
        <v>66</v>
      </c>
      <c r="G293" t="s">
        <v>35</v>
      </c>
      <c r="H293" t="s">
        <v>25</v>
      </c>
      <c r="I293" t="s">
        <v>41</v>
      </c>
      <c r="J293">
        <v>6</v>
      </c>
      <c r="K293">
        <v>45</v>
      </c>
      <c r="L293" t="s">
        <v>36</v>
      </c>
      <c r="M293" t="s">
        <v>32</v>
      </c>
    </row>
    <row r="294" spans="1:13" x14ac:dyDescent="0.3">
      <c r="A294" t="s">
        <v>747</v>
      </c>
      <c r="B294" s="4">
        <v>45297</v>
      </c>
      <c r="C294" s="6">
        <v>0.47638888888888886</v>
      </c>
      <c r="D294" t="s">
        <v>748</v>
      </c>
      <c r="E294" t="s">
        <v>23</v>
      </c>
      <c r="F294">
        <v>22</v>
      </c>
      <c r="G294" t="s">
        <v>35</v>
      </c>
      <c r="H294" t="s">
        <v>25</v>
      </c>
      <c r="I294" t="s">
        <v>26</v>
      </c>
      <c r="J294">
        <v>3</v>
      </c>
      <c r="K294">
        <v>50</v>
      </c>
      <c r="L294" t="s">
        <v>46</v>
      </c>
      <c r="M294" t="s">
        <v>32</v>
      </c>
    </row>
    <row r="295" spans="1:13" x14ac:dyDescent="0.3">
      <c r="A295" t="s">
        <v>749</v>
      </c>
      <c r="B295" s="4">
        <v>45306</v>
      </c>
      <c r="C295" s="6">
        <v>0.90208333333333335</v>
      </c>
      <c r="D295" t="s">
        <v>750</v>
      </c>
      <c r="E295" t="s">
        <v>23</v>
      </c>
      <c r="F295">
        <v>18</v>
      </c>
      <c r="G295" t="s">
        <v>35</v>
      </c>
      <c r="H295" t="s">
        <v>25</v>
      </c>
      <c r="I295" t="s">
        <v>26</v>
      </c>
      <c r="J295">
        <v>5</v>
      </c>
      <c r="K295">
        <v>60</v>
      </c>
      <c r="L295" t="s">
        <v>42</v>
      </c>
      <c r="M295" t="s">
        <v>32</v>
      </c>
    </row>
    <row r="296" spans="1:13" x14ac:dyDescent="0.3">
      <c r="A296" t="s">
        <v>751</v>
      </c>
      <c r="B296" s="4">
        <v>45317</v>
      </c>
      <c r="C296" s="6">
        <v>0.68472222222222223</v>
      </c>
      <c r="D296" t="s">
        <v>752</v>
      </c>
      <c r="E296" t="s">
        <v>39</v>
      </c>
      <c r="F296">
        <v>49</v>
      </c>
      <c r="G296" t="s">
        <v>35</v>
      </c>
      <c r="H296" t="s">
        <v>25</v>
      </c>
      <c r="I296" t="s">
        <v>26</v>
      </c>
      <c r="J296">
        <v>10</v>
      </c>
      <c r="K296">
        <v>52</v>
      </c>
      <c r="L296" t="s">
        <v>27</v>
      </c>
      <c r="M296" t="s">
        <v>32</v>
      </c>
    </row>
    <row r="297" spans="1:13" x14ac:dyDescent="0.3">
      <c r="A297" t="s">
        <v>753</v>
      </c>
      <c r="B297" s="4">
        <v>45318</v>
      </c>
      <c r="C297" s="6">
        <v>0.57430555555555551</v>
      </c>
      <c r="D297" t="s">
        <v>754</v>
      </c>
      <c r="E297" t="s">
        <v>39</v>
      </c>
      <c r="F297">
        <v>62</v>
      </c>
      <c r="G297" t="s">
        <v>35</v>
      </c>
      <c r="H297" t="s">
        <v>25</v>
      </c>
      <c r="I297" t="s">
        <v>41</v>
      </c>
      <c r="J297">
        <v>4</v>
      </c>
      <c r="K297">
        <v>43</v>
      </c>
      <c r="L297" t="s">
        <v>36</v>
      </c>
      <c r="M297" t="s">
        <v>32</v>
      </c>
    </row>
    <row r="298" spans="1:13" x14ac:dyDescent="0.3">
      <c r="A298" t="s">
        <v>755</v>
      </c>
      <c r="B298" s="4">
        <v>45298</v>
      </c>
      <c r="C298" s="6">
        <v>0.20069444444444445</v>
      </c>
      <c r="D298" t="s">
        <v>756</v>
      </c>
      <c r="E298" t="s">
        <v>39</v>
      </c>
      <c r="F298">
        <v>48</v>
      </c>
      <c r="G298" t="s">
        <v>35</v>
      </c>
      <c r="H298" t="s">
        <v>25</v>
      </c>
      <c r="I298" t="s">
        <v>41</v>
      </c>
      <c r="J298">
        <v>1</v>
      </c>
      <c r="K298">
        <v>40</v>
      </c>
      <c r="L298" t="s">
        <v>27</v>
      </c>
      <c r="M298" t="s">
        <v>32</v>
      </c>
    </row>
    <row r="299" spans="1:13" x14ac:dyDescent="0.3">
      <c r="A299" t="s">
        <v>757</v>
      </c>
      <c r="B299" s="4">
        <v>45293</v>
      </c>
      <c r="C299" s="6">
        <v>0.10625</v>
      </c>
      <c r="D299" t="s">
        <v>758</v>
      </c>
      <c r="E299" t="s">
        <v>39</v>
      </c>
      <c r="F299">
        <v>59</v>
      </c>
      <c r="G299" t="s">
        <v>35</v>
      </c>
      <c r="H299" t="s">
        <v>25</v>
      </c>
      <c r="I299" t="s">
        <v>41</v>
      </c>
      <c r="J299">
        <v>5</v>
      </c>
      <c r="K299">
        <v>49</v>
      </c>
      <c r="L299" t="s">
        <v>59</v>
      </c>
      <c r="M299" t="s">
        <v>32</v>
      </c>
    </row>
    <row r="300" spans="1:13" x14ac:dyDescent="0.3">
      <c r="A300" t="s">
        <v>239</v>
      </c>
      <c r="B300" s="4">
        <v>45304</v>
      </c>
      <c r="C300" s="6">
        <v>0.1</v>
      </c>
      <c r="D300" t="s">
        <v>240</v>
      </c>
      <c r="E300" t="s">
        <v>39</v>
      </c>
      <c r="F300">
        <v>8</v>
      </c>
      <c r="G300" t="s">
        <v>35</v>
      </c>
      <c r="H300" t="s">
        <v>25</v>
      </c>
      <c r="I300" t="s">
        <v>26</v>
      </c>
      <c r="J300">
        <v>1</v>
      </c>
      <c r="K300">
        <v>57</v>
      </c>
      <c r="L300" t="s">
        <v>52</v>
      </c>
      <c r="M300" t="s">
        <v>32</v>
      </c>
    </row>
    <row r="301" spans="1:13" x14ac:dyDescent="0.3">
      <c r="A301" t="s">
        <v>759</v>
      </c>
      <c r="B301" s="4">
        <v>45315</v>
      </c>
      <c r="C301" s="6">
        <v>0.47916666666666669</v>
      </c>
      <c r="D301" t="s">
        <v>760</v>
      </c>
      <c r="E301" t="s">
        <v>39</v>
      </c>
      <c r="F301">
        <v>52</v>
      </c>
      <c r="G301" t="s">
        <v>35</v>
      </c>
      <c r="H301" t="s">
        <v>25</v>
      </c>
      <c r="I301" t="s">
        <v>26</v>
      </c>
      <c r="J301">
        <v>3</v>
      </c>
      <c r="K301">
        <v>46</v>
      </c>
      <c r="L301" t="s">
        <v>59</v>
      </c>
      <c r="M301" t="s">
        <v>32</v>
      </c>
    </row>
    <row r="302" spans="1:13" x14ac:dyDescent="0.3">
      <c r="A302" t="s">
        <v>761</v>
      </c>
      <c r="B302" s="4">
        <v>45294</v>
      </c>
      <c r="C302" s="6">
        <v>0.22569444444444445</v>
      </c>
      <c r="D302" t="s">
        <v>762</v>
      </c>
      <c r="E302" t="s">
        <v>39</v>
      </c>
      <c r="F302">
        <v>11</v>
      </c>
      <c r="G302" t="s">
        <v>35</v>
      </c>
      <c r="H302" t="s">
        <v>25</v>
      </c>
      <c r="I302" t="s">
        <v>26</v>
      </c>
      <c r="J302">
        <v>5</v>
      </c>
      <c r="K302">
        <v>40</v>
      </c>
      <c r="L302" t="s">
        <v>42</v>
      </c>
      <c r="M302" t="s">
        <v>32</v>
      </c>
    </row>
    <row r="303" spans="1:13" x14ac:dyDescent="0.3">
      <c r="A303" t="s">
        <v>763</v>
      </c>
      <c r="B303" s="4">
        <v>45313</v>
      </c>
      <c r="C303" s="6">
        <v>1.3888888888888889E-3</v>
      </c>
      <c r="D303" t="s">
        <v>764</v>
      </c>
      <c r="E303" t="s">
        <v>39</v>
      </c>
      <c r="F303">
        <v>66</v>
      </c>
      <c r="G303" t="s">
        <v>35</v>
      </c>
      <c r="H303" t="s">
        <v>25</v>
      </c>
      <c r="I303" t="s">
        <v>26</v>
      </c>
      <c r="J303">
        <v>6</v>
      </c>
      <c r="K303">
        <v>58</v>
      </c>
      <c r="L303" t="s">
        <v>36</v>
      </c>
      <c r="M303" t="s">
        <v>32</v>
      </c>
    </row>
    <row r="304" spans="1:13" x14ac:dyDescent="0.3">
      <c r="A304" t="s">
        <v>765</v>
      </c>
      <c r="B304" s="4">
        <v>45292</v>
      </c>
      <c r="C304" s="6">
        <v>0.88402777777777775</v>
      </c>
      <c r="D304" t="s">
        <v>766</v>
      </c>
      <c r="E304" t="s">
        <v>39</v>
      </c>
      <c r="F304">
        <v>51</v>
      </c>
      <c r="G304" t="s">
        <v>35</v>
      </c>
      <c r="H304" t="s">
        <v>25</v>
      </c>
      <c r="I304" t="s">
        <v>26</v>
      </c>
      <c r="J304">
        <v>10</v>
      </c>
      <c r="K304">
        <v>60</v>
      </c>
      <c r="L304" t="s">
        <v>59</v>
      </c>
      <c r="M304" t="s">
        <v>32</v>
      </c>
    </row>
    <row r="305" spans="1:13" x14ac:dyDescent="0.3">
      <c r="A305" t="s">
        <v>767</v>
      </c>
      <c r="B305" s="4">
        <v>45306</v>
      </c>
      <c r="C305" s="6">
        <v>0.95625000000000004</v>
      </c>
      <c r="D305" t="s">
        <v>768</v>
      </c>
      <c r="E305" t="s">
        <v>39</v>
      </c>
      <c r="F305">
        <v>77</v>
      </c>
      <c r="G305" t="s">
        <v>24</v>
      </c>
      <c r="H305" t="s">
        <v>25</v>
      </c>
      <c r="I305" t="s">
        <v>26</v>
      </c>
      <c r="J305">
        <v>2</v>
      </c>
      <c r="K305">
        <v>59</v>
      </c>
      <c r="L305" t="s">
        <v>82</v>
      </c>
      <c r="M305" t="s">
        <v>32</v>
      </c>
    </row>
    <row r="306" spans="1:13" x14ac:dyDescent="0.3">
      <c r="A306" t="s">
        <v>769</v>
      </c>
      <c r="B306" s="4">
        <v>45293</v>
      </c>
      <c r="C306" s="6">
        <v>0.14027777777777778</v>
      </c>
      <c r="D306" t="s">
        <v>770</v>
      </c>
      <c r="E306" t="s">
        <v>39</v>
      </c>
      <c r="F306">
        <v>17</v>
      </c>
      <c r="G306" t="s">
        <v>24</v>
      </c>
      <c r="H306" t="s">
        <v>25</v>
      </c>
      <c r="I306" t="s">
        <v>26</v>
      </c>
      <c r="J306">
        <v>0</v>
      </c>
      <c r="K306">
        <v>51</v>
      </c>
      <c r="L306" t="s">
        <v>42</v>
      </c>
      <c r="M306" t="s">
        <v>32</v>
      </c>
    </row>
    <row r="307" spans="1:13" x14ac:dyDescent="0.3">
      <c r="A307" t="s">
        <v>241</v>
      </c>
      <c r="B307" s="4">
        <v>45321</v>
      </c>
      <c r="C307" s="6">
        <v>0.70347222222222228</v>
      </c>
      <c r="D307" t="s">
        <v>242</v>
      </c>
      <c r="E307" t="s">
        <v>39</v>
      </c>
      <c r="F307">
        <v>7</v>
      </c>
      <c r="G307" t="s">
        <v>24</v>
      </c>
      <c r="H307" t="s">
        <v>25</v>
      </c>
      <c r="I307" t="s">
        <v>26</v>
      </c>
      <c r="J307">
        <v>4</v>
      </c>
      <c r="K307">
        <v>46</v>
      </c>
      <c r="L307" t="s">
        <v>52</v>
      </c>
      <c r="M307" t="s">
        <v>32</v>
      </c>
    </row>
    <row r="308" spans="1:13" x14ac:dyDescent="0.3">
      <c r="A308" t="s">
        <v>771</v>
      </c>
      <c r="B308" s="4">
        <v>45306</v>
      </c>
      <c r="C308" s="6">
        <v>0.47222222222222221</v>
      </c>
      <c r="D308" t="s">
        <v>772</v>
      </c>
      <c r="E308" t="s">
        <v>23</v>
      </c>
      <c r="F308">
        <v>50</v>
      </c>
      <c r="G308" t="s">
        <v>24</v>
      </c>
      <c r="H308" t="s">
        <v>25</v>
      </c>
      <c r="I308" t="s">
        <v>26</v>
      </c>
      <c r="J308">
        <v>0</v>
      </c>
      <c r="K308">
        <v>31</v>
      </c>
      <c r="L308" t="s">
        <v>27</v>
      </c>
      <c r="M308" t="s">
        <v>32</v>
      </c>
    </row>
    <row r="309" spans="1:13" x14ac:dyDescent="0.3">
      <c r="A309" t="s">
        <v>773</v>
      </c>
      <c r="B309" s="4">
        <v>45293</v>
      </c>
      <c r="C309" s="6">
        <v>0.29652777777777778</v>
      </c>
      <c r="D309" t="s">
        <v>774</v>
      </c>
      <c r="E309" t="s">
        <v>23</v>
      </c>
      <c r="F309">
        <v>38</v>
      </c>
      <c r="G309" t="s">
        <v>24</v>
      </c>
      <c r="H309" t="s">
        <v>25</v>
      </c>
      <c r="I309" t="s">
        <v>26</v>
      </c>
      <c r="J309">
        <v>6</v>
      </c>
      <c r="K309">
        <v>57</v>
      </c>
      <c r="L309" t="s">
        <v>31</v>
      </c>
      <c r="M309" t="s">
        <v>32</v>
      </c>
    </row>
    <row r="310" spans="1:13" x14ac:dyDescent="0.3">
      <c r="A310" t="s">
        <v>775</v>
      </c>
      <c r="B310" s="4">
        <v>45292</v>
      </c>
      <c r="C310" s="6">
        <v>0.38055555555555554</v>
      </c>
      <c r="D310" t="s">
        <v>776</v>
      </c>
      <c r="E310" t="s">
        <v>23</v>
      </c>
      <c r="F310">
        <v>17</v>
      </c>
      <c r="G310" t="s">
        <v>24</v>
      </c>
      <c r="H310" t="s">
        <v>25</v>
      </c>
      <c r="I310" t="s">
        <v>26</v>
      </c>
      <c r="J310">
        <v>7</v>
      </c>
      <c r="K310">
        <v>56</v>
      </c>
      <c r="L310" t="s">
        <v>42</v>
      </c>
      <c r="M310" t="s">
        <v>32</v>
      </c>
    </row>
    <row r="311" spans="1:13" x14ac:dyDescent="0.3">
      <c r="A311" t="s">
        <v>777</v>
      </c>
      <c r="B311" s="4">
        <v>45318</v>
      </c>
      <c r="C311" s="6">
        <v>0.15625</v>
      </c>
      <c r="D311" t="s">
        <v>778</v>
      </c>
      <c r="E311" t="s">
        <v>23</v>
      </c>
      <c r="F311">
        <v>29</v>
      </c>
      <c r="G311" t="s">
        <v>24</v>
      </c>
      <c r="H311" t="s">
        <v>25</v>
      </c>
      <c r="I311" t="s">
        <v>26</v>
      </c>
      <c r="J311">
        <v>10</v>
      </c>
      <c r="K311">
        <v>58</v>
      </c>
      <c r="L311" t="s">
        <v>46</v>
      </c>
      <c r="M311" t="s">
        <v>32</v>
      </c>
    </row>
    <row r="312" spans="1:13" x14ac:dyDescent="0.3">
      <c r="A312" t="s">
        <v>779</v>
      </c>
      <c r="B312" s="4">
        <v>45313</v>
      </c>
      <c r="C312" s="6">
        <v>0.1701388888888889</v>
      </c>
      <c r="D312" t="s">
        <v>780</v>
      </c>
      <c r="E312" t="s">
        <v>23</v>
      </c>
      <c r="F312">
        <v>19</v>
      </c>
      <c r="G312" t="s">
        <v>24</v>
      </c>
      <c r="H312" t="s">
        <v>25</v>
      </c>
      <c r="I312" t="s">
        <v>41</v>
      </c>
      <c r="J312">
        <v>4</v>
      </c>
      <c r="K312">
        <v>35</v>
      </c>
      <c r="L312" t="s">
        <v>42</v>
      </c>
      <c r="M312" t="s">
        <v>32</v>
      </c>
    </row>
    <row r="313" spans="1:13" x14ac:dyDescent="0.3">
      <c r="A313" t="s">
        <v>781</v>
      </c>
      <c r="B313" s="4">
        <v>45299</v>
      </c>
      <c r="C313" s="6">
        <v>8.3333333333333329E-2</v>
      </c>
      <c r="D313" t="s">
        <v>782</v>
      </c>
      <c r="E313" t="s">
        <v>23</v>
      </c>
      <c r="F313">
        <v>68</v>
      </c>
      <c r="G313" t="s">
        <v>24</v>
      </c>
      <c r="H313" t="s">
        <v>25</v>
      </c>
      <c r="I313" t="s">
        <v>41</v>
      </c>
      <c r="J313">
        <v>4</v>
      </c>
      <c r="K313">
        <v>58</v>
      </c>
      <c r="L313" t="s">
        <v>36</v>
      </c>
      <c r="M313" t="s">
        <v>32</v>
      </c>
    </row>
    <row r="314" spans="1:13" x14ac:dyDescent="0.3">
      <c r="A314" t="s">
        <v>783</v>
      </c>
      <c r="B314" s="4">
        <v>45310</v>
      </c>
      <c r="C314" s="6">
        <v>0.44861111111111113</v>
      </c>
      <c r="D314" t="s">
        <v>784</v>
      </c>
      <c r="E314" t="s">
        <v>23</v>
      </c>
      <c r="F314">
        <v>29</v>
      </c>
      <c r="G314" t="s">
        <v>24</v>
      </c>
      <c r="H314" t="s">
        <v>25</v>
      </c>
      <c r="I314" t="s">
        <v>41</v>
      </c>
      <c r="J314">
        <v>8</v>
      </c>
      <c r="K314">
        <v>31</v>
      </c>
      <c r="L314" t="s">
        <v>46</v>
      </c>
      <c r="M314" t="s">
        <v>32</v>
      </c>
    </row>
    <row r="315" spans="1:13" x14ac:dyDescent="0.3">
      <c r="A315" t="s">
        <v>785</v>
      </c>
      <c r="B315" s="4">
        <v>45297</v>
      </c>
      <c r="C315" s="6">
        <v>0.60416666666666663</v>
      </c>
      <c r="D315" t="s">
        <v>786</v>
      </c>
      <c r="E315" t="s">
        <v>39</v>
      </c>
      <c r="F315">
        <v>30</v>
      </c>
      <c r="G315" t="s">
        <v>24</v>
      </c>
      <c r="H315" t="s">
        <v>25</v>
      </c>
      <c r="I315" t="s">
        <v>41</v>
      </c>
      <c r="J315">
        <v>7</v>
      </c>
      <c r="K315">
        <v>58</v>
      </c>
      <c r="L315" t="s">
        <v>46</v>
      </c>
      <c r="M315" t="s">
        <v>32</v>
      </c>
    </row>
    <row r="316" spans="1:13" x14ac:dyDescent="0.3">
      <c r="A316" t="s">
        <v>243</v>
      </c>
      <c r="B316" s="4">
        <v>45322</v>
      </c>
      <c r="C316" s="6">
        <v>0.39861111111111114</v>
      </c>
      <c r="D316" t="s">
        <v>244</v>
      </c>
      <c r="E316" t="s">
        <v>39</v>
      </c>
      <c r="F316">
        <v>2</v>
      </c>
      <c r="G316" t="s">
        <v>24</v>
      </c>
      <c r="H316" t="s">
        <v>25</v>
      </c>
      <c r="I316" t="s">
        <v>41</v>
      </c>
      <c r="J316">
        <v>4</v>
      </c>
      <c r="K316">
        <v>41</v>
      </c>
      <c r="L316" t="s">
        <v>52</v>
      </c>
      <c r="M316" t="s">
        <v>32</v>
      </c>
    </row>
    <row r="317" spans="1:13" x14ac:dyDescent="0.3">
      <c r="A317" t="s">
        <v>787</v>
      </c>
      <c r="B317" s="4">
        <v>45321</v>
      </c>
      <c r="C317" s="6">
        <v>0.17499999999999999</v>
      </c>
      <c r="D317" t="s">
        <v>788</v>
      </c>
      <c r="E317" t="s">
        <v>39</v>
      </c>
      <c r="F317">
        <v>22</v>
      </c>
      <c r="G317" t="s">
        <v>24</v>
      </c>
      <c r="H317" t="s">
        <v>25</v>
      </c>
      <c r="I317" t="s">
        <v>41</v>
      </c>
      <c r="J317">
        <v>4</v>
      </c>
      <c r="K317">
        <v>49</v>
      </c>
      <c r="L317" t="s">
        <v>46</v>
      </c>
      <c r="M317" t="s">
        <v>32</v>
      </c>
    </row>
    <row r="318" spans="1:13" x14ac:dyDescent="0.3">
      <c r="A318" t="s">
        <v>789</v>
      </c>
      <c r="B318" s="4">
        <v>45319</v>
      </c>
      <c r="C318" s="6">
        <v>0.2298611111111111</v>
      </c>
      <c r="D318" t="s">
        <v>790</v>
      </c>
      <c r="E318" t="s">
        <v>39</v>
      </c>
      <c r="F318">
        <v>29</v>
      </c>
      <c r="G318" t="s">
        <v>24</v>
      </c>
      <c r="H318" t="s">
        <v>25</v>
      </c>
      <c r="I318" t="s">
        <v>41</v>
      </c>
      <c r="J318">
        <v>7</v>
      </c>
      <c r="K318">
        <v>48</v>
      </c>
      <c r="L318" t="s">
        <v>46</v>
      </c>
      <c r="M318" t="s">
        <v>32</v>
      </c>
    </row>
    <row r="319" spans="1:13" x14ac:dyDescent="0.3">
      <c r="A319" t="s">
        <v>245</v>
      </c>
      <c r="B319" s="4">
        <v>45303</v>
      </c>
      <c r="C319" s="6">
        <v>0.7631944444444444</v>
      </c>
      <c r="D319" t="s">
        <v>246</v>
      </c>
      <c r="E319" t="s">
        <v>39</v>
      </c>
      <c r="F319">
        <v>8</v>
      </c>
      <c r="G319" t="s">
        <v>24</v>
      </c>
      <c r="H319" t="s">
        <v>25</v>
      </c>
      <c r="I319" t="s">
        <v>41</v>
      </c>
      <c r="J319">
        <v>10</v>
      </c>
      <c r="K319">
        <v>49</v>
      </c>
      <c r="L319" t="s">
        <v>52</v>
      </c>
      <c r="M319" t="s">
        <v>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E2C6-9AEE-4611-AC17-2BC7BD68351E}">
  <dimension ref="A3:R84"/>
  <sheetViews>
    <sheetView topLeftCell="A49" zoomScale="71" zoomScaleNormal="51" workbookViewId="0">
      <selection activeCell="N28" sqref="N28"/>
    </sheetView>
  </sheetViews>
  <sheetFormatPr defaultRowHeight="14.4" x14ac:dyDescent="0.3"/>
  <cols>
    <col min="1" max="1" width="16.88671875" customWidth="1"/>
    <col min="2" max="2" width="13.109375" customWidth="1"/>
    <col min="3" max="3" width="8.21875" customWidth="1"/>
    <col min="4" max="4" width="31.21875" customWidth="1"/>
    <col min="5" max="5" width="35.5546875" bestFit="1" customWidth="1"/>
    <col min="12" max="12" width="23.21875" bestFit="1" customWidth="1"/>
    <col min="13" max="13" width="35.5546875" bestFit="1" customWidth="1"/>
    <col min="17" max="17" width="26.88671875" bestFit="1" customWidth="1"/>
    <col min="18" max="18" width="33.109375" bestFit="1" customWidth="1"/>
  </cols>
  <sheetData>
    <row r="3" spans="1:18" x14ac:dyDescent="0.3">
      <c r="A3" t="s">
        <v>1</v>
      </c>
      <c r="D3" t="s">
        <v>6</v>
      </c>
      <c r="L3" t="s">
        <v>7</v>
      </c>
      <c r="Q3" t="s">
        <v>86</v>
      </c>
    </row>
    <row r="4" spans="1:18" x14ac:dyDescent="0.3">
      <c r="A4" t="s">
        <v>0</v>
      </c>
      <c r="D4" s="1" t="s">
        <v>5</v>
      </c>
      <c r="E4" t="s">
        <v>0</v>
      </c>
      <c r="L4" s="1" t="s">
        <v>5</v>
      </c>
      <c r="M4" t="s">
        <v>2</v>
      </c>
      <c r="Q4" s="1" t="s">
        <v>5</v>
      </c>
      <c r="R4" t="s">
        <v>3</v>
      </c>
    </row>
    <row r="5" spans="1:18" x14ac:dyDescent="0.3">
      <c r="A5">
        <v>469</v>
      </c>
      <c r="D5" s="5" t="s">
        <v>795</v>
      </c>
      <c r="E5">
        <v>12</v>
      </c>
      <c r="L5" s="5" t="s">
        <v>795</v>
      </c>
      <c r="M5" s="2">
        <v>31.833333333333332</v>
      </c>
      <c r="Q5" s="5" t="s">
        <v>796</v>
      </c>
      <c r="R5" s="2">
        <v>4.5999999999999996</v>
      </c>
    </row>
    <row r="6" spans="1:18" x14ac:dyDescent="0.3">
      <c r="D6" s="5" t="s">
        <v>796</v>
      </c>
      <c r="E6">
        <v>19</v>
      </c>
      <c r="L6" s="5" t="s">
        <v>796</v>
      </c>
      <c r="M6" s="2">
        <v>39.368421052631582</v>
      </c>
      <c r="Q6" s="5" t="s">
        <v>797</v>
      </c>
      <c r="R6" s="2">
        <v>4.5999999999999996</v>
      </c>
    </row>
    <row r="7" spans="1:18" x14ac:dyDescent="0.3">
      <c r="D7" s="5" t="s">
        <v>797</v>
      </c>
      <c r="E7">
        <v>17</v>
      </c>
      <c r="L7" s="5" t="s">
        <v>797</v>
      </c>
      <c r="M7" s="2">
        <v>32.352941176470587</v>
      </c>
      <c r="Q7" s="5" t="s">
        <v>798</v>
      </c>
      <c r="R7" s="2">
        <v>5.666666666666667</v>
      </c>
    </row>
    <row r="8" spans="1:18" x14ac:dyDescent="0.3">
      <c r="A8" t="s">
        <v>2</v>
      </c>
      <c r="D8" s="5" t="s">
        <v>798</v>
      </c>
      <c r="E8">
        <v>20</v>
      </c>
      <c r="L8" s="5" t="s">
        <v>798</v>
      </c>
      <c r="M8" s="2">
        <v>34.049999999999997</v>
      </c>
      <c r="Q8" s="5" t="s">
        <v>799</v>
      </c>
      <c r="R8" s="2">
        <v>3.4</v>
      </c>
    </row>
    <row r="9" spans="1:18" x14ac:dyDescent="0.3">
      <c r="A9" s="2">
        <v>35.044776119402982</v>
      </c>
      <c r="D9" s="5" t="s">
        <v>799</v>
      </c>
      <c r="E9">
        <v>15</v>
      </c>
      <c r="L9" s="5" t="s">
        <v>799</v>
      </c>
      <c r="M9" s="2">
        <v>31.8</v>
      </c>
      <c r="Q9" s="5" t="s">
        <v>800</v>
      </c>
      <c r="R9" s="2">
        <v>4.333333333333333</v>
      </c>
    </row>
    <row r="10" spans="1:18" x14ac:dyDescent="0.3">
      <c r="D10" s="5" t="s">
        <v>800</v>
      </c>
      <c r="E10">
        <v>17</v>
      </c>
      <c r="L10" s="5" t="s">
        <v>800</v>
      </c>
      <c r="M10" s="2">
        <v>37.823529411764703</v>
      </c>
      <c r="Q10" s="5" t="s">
        <v>801</v>
      </c>
      <c r="R10" s="2">
        <v>4.4000000000000004</v>
      </c>
    </row>
    <row r="11" spans="1:18" x14ac:dyDescent="0.3">
      <c r="D11" s="5" t="s">
        <v>801</v>
      </c>
      <c r="E11">
        <v>16</v>
      </c>
      <c r="L11" s="5" t="s">
        <v>801</v>
      </c>
      <c r="M11" s="2">
        <v>31.875</v>
      </c>
      <c r="Q11" s="5" t="s">
        <v>802</v>
      </c>
      <c r="R11" s="2">
        <v>4.25</v>
      </c>
    </row>
    <row r="12" spans="1:18" x14ac:dyDescent="0.3">
      <c r="A12" t="s">
        <v>3</v>
      </c>
      <c r="D12" s="5" t="s">
        <v>802</v>
      </c>
      <c r="E12">
        <v>10</v>
      </c>
      <c r="L12" s="5" t="s">
        <v>802</v>
      </c>
      <c r="M12" s="2">
        <v>27.3</v>
      </c>
      <c r="Q12" s="5" t="s">
        <v>803</v>
      </c>
      <c r="R12" s="2">
        <v>4.5999999999999996</v>
      </c>
    </row>
    <row r="13" spans="1:18" x14ac:dyDescent="0.3">
      <c r="A13" s="2">
        <v>4.6269841269841274</v>
      </c>
      <c r="D13" s="5" t="s">
        <v>803</v>
      </c>
      <c r="E13">
        <v>15</v>
      </c>
      <c r="L13" s="5" t="s">
        <v>803</v>
      </c>
      <c r="M13" s="2">
        <v>31.933333333333334</v>
      </c>
      <c r="Q13" s="5" t="s">
        <v>805</v>
      </c>
      <c r="R13" s="2">
        <v>2.3333333333333335</v>
      </c>
    </row>
    <row r="14" spans="1:18" x14ac:dyDescent="0.3">
      <c r="D14" s="5" t="s">
        <v>804</v>
      </c>
      <c r="E14">
        <v>14</v>
      </c>
      <c r="L14" s="5" t="s">
        <v>804</v>
      </c>
      <c r="M14" s="2">
        <v>30.5</v>
      </c>
      <c r="Q14" s="5" t="s">
        <v>806</v>
      </c>
      <c r="R14" s="2">
        <v>9</v>
      </c>
    </row>
    <row r="15" spans="1:18" x14ac:dyDescent="0.3">
      <c r="D15" s="5" t="s">
        <v>805</v>
      </c>
      <c r="E15">
        <v>16</v>
      </c>
      <c r="L15" s="5" t="s">
        <v>805</v>
      </c>
      <c r="M15" s="2">
        <v>38.0625</v>
      </c>
      <c r="Q15" s="5" t="s">
        <v>807</v>
      </c>
      <c r="R15" s="2">
        <v>2.75</v>
      </c>
    </row>
    <row r="16" spans="1:18" x14ac:dyDescent="0.3">
      <c r="D16" s="5" t="s">
        <v>806</v>
      </c>
      <c r="E16">
        <v>12</v>
      </c>
      <c r="L16" s="5" t="s">
        <v>806</v>
      </c>
      <c r="M16" s="2">
        <v>36.333333333333336</v>
      </c>
      <c r="Q16" s="5" t="s">
        <v>808</v>
      </c>
      <c r="R16" s="2">
        <v>6.8888888888888893</v>
      </c>
    </row>
    <row r="17" spans="1:18" x14ac:dyDescent="0.3">
      <c r="D17" s="5" t="s">
        <v>807</v>
      </c>
      <c r="E17">
        <v>12</v>
      </c>
      <c r="L17" s="5" t="s">
        <v>807</v>
      </c>
      <c r="M17" s="2">
        <v>27</v>
      </c>
      <c r="Q17" s="5" t="s">
        <v>809</v>
      </c>
      <c r="R17" s="2">
        <v>5</v>
      </c>
    </row>
    <row r="18" spans="1:18" x14ac:dyDescent="0.3">
      <c r="D18" s="5" t="s">
        <v>808</v>
      </c>
      <c r="E18">
        <v>13</v>
      </c>
      <c r="L18" s="5" t="s">
        <v>808</v>
      </c>
      <c r="M18" s="2">
        <v>37.46153846153846</v>
      </c>
      <c r="Q18" s="5" t="s">
        <v>810</v>
      </c>
      <c r="R18" s="2">
        <v>4.166666666666667</v>
      </c>
    </row>
    <row r="19" spans="1:18" x14ac:dyDescent="0.3">
      <c r="D19" s="5" t="s">
        <v>809</v>
      </c>
      <c r="E19">
        <v>20</v>
      </c>
      <c r="L19" s="5" t="s">
        <v>809</v>
      </c>
      <c r="M19" s="2">
        <v>39.25</v>
      </c>
      <c r="Q19" s="5" t="s">
        <v>811</v>
      </c>
      <c r="R19" s="2">
        <v>2.5</v>
      </c>
    </row>
    <row r="20" spans="1:18" x14ac:dyDescent="0.3">
      <c r="D20" s="5" t="s">
        <v>810</v>
      </c>
      <c r="E20">
        <v>17</v>
      </c>
      <c r="L20" s="5" t="s">
        <v>810</v>
      </c>
      <c r="M20" s="2">
        <v>33.647058823529413</v>
      </c>
      <c r="Q20" s="5" t="s">
        <v>812</v>
      </c>
      <c r="R20" s="2">
        <v>6</v>
      </c>
    </row>
    <row r="21" spans="1:18" x14ac:dyDescent="0.3">
      <c r="D21" s="5" t="s">
        <v>811</v>
      </c>
      <c r="E21">
        <v>10</v>
      </c>
      <c r="L21" s="5" t="s">
        <v>811</v>
      </c>
      <c r="M21" s="2">
        <v>42.2</v>
      </c>
      <c r="Q21" s="5" t="s">
        <v>813</v>
      </c>
      <c r="R21" s="2">
        <v>3.8</v>
      </c>
    </row>
    <row r="22" spans="1:18" x14ac:dyDescent="0.3">
      <c r="D22" s="5" t="s">
        <v>812</v>
      </c>
      <c r="E22">
        <v>16</v>
      </c>
      <c r="L22" s="5" t="s">
        <v>812</v>
      </c>
      <c r="M22" s="2">
        <v>33.3125</v>
      </c>
      <c r="Q22" s="5" t="s">
        <v>814</v>
      </c>
      <c r="R22" s="2">
        <v>3.6</v>
      </c>
    </row>
    <row r="23" spans="1:18" x14ac:dyDescent="0.3">
      <c r="D23" s="5" t="s">
        <v>813</v>
      </c>
      <c r="E23">
        <v>13</v>
      </c>
      <c r="L23" s="5" t="s">
        <v>813</v>
      </c>
      <c r="M23" s="2">
        <v>25.76923076923077</v>
      </c>
      <c r="Q23" s="5" t="s">
        <v>816</v>
      </c>
      <c r="R23" s="2">
        <v>5.8571428571428568</v>
      </c>
    </row>
    <row r="24" spans="1:18" x14ac:dyDescent="0.3">
      <c r="D24" s="5" t="s">
        <v>814</v>
      </c>
      <c r="E24">
        <v>16</v>
      </c>
      <c r="L24" s="5" t="s">
        <v>814</v>
      </c>
      <c r="M24" s="2">
        <v>37.125</v>
      </c>
      <c r="Q24" s="5" t="s">
        <v>817</v>
      </c>
      <c r="R24" s="2">
        <v>6.25</v>
      </c>
    </row>
    <row r="25" spans="1:18" x14ac:dyDescent="0.3">
      <c r="D25" s="5" t="s">
        <v>815</v>
      </c>
      <c r="E25">
        <v>18</v>
      </c>
      <c r="L25" s="5" t="s">
        <v>815</v>
      </c>
      <c r="M25" s="2">
        <v>37</v>
      </c>
      <c r="Q25" s="5" t="s">
        <v>818</v>
      </c>
      <c r="R25" s="2">
        <v>4.666666666666667</v>
      </c>
    </row>
    <row r="26" spans="1:18" x14ac:dyDescent="0.3">
      <c r="D26" s="5" t="s">
        <v>816</v>
      </c>
      <c r="E26">
        <v>21</v>
      </c>
      <c r="L26" s="5" t="s">
        <v>816</v>
      </c>
      <c r="M26" s="2">
        <v>36.80952380952381</v>
      </c>
      <c r="Q26" s="5" t="s">
        <v>819</v>
      </c>
      <c r="R26" s="2">
        <v>0</v>
      </c>
    </row>
    <row r="27" spans="1:18" x14ac:dyDescent="0.3">
      <c r="D27" s="5" t="s">
        <v>817</v>
      </c>
      <c r="E27">
        <v>15</v>
      </c>
      <c r="L27" s="5" t="s">
        <v>817</v>
      </c>
      <c r="M27" s="2">
        <v>39.799999999999997</v>
      </c>
      <c r="Q27" s="5" t="s">
        <v>820</v>
      </c>
      <c r="R27" s="2">
        <v>4.666666666666667</v>
      </c>
    </row>
    <row r="28" spans="1:18" x14ac:dyDescent="0.3">
      <c r="A28" s="1" t="s">
        <v>5</v>
      </c>
      <c r="B28" t="s">
        <v>87</v>
      </c>
      <c r="C28" t="s">
        <v>88</v>
      </c>
      <c r="D28" s="5" t="s">
        <v>818</v>
      </c>
      <c r="E28">
        <v>18</v>
      </c>
      <c r="L28" s="5" t="s">
        <v>818</v>
      </c>
      <c r="M28" s="2">
        <v>38</v>
      </c>
      <c r="Q28" s="5" t="s">
        <v>821</v>
      </c>
      <c r="R28" s="2">
        <v>2.8</v>
      </c>
    </row>
    <row r="29" spans="1:18" x14ac:dyDescent="0.3">
      <c r="A29" s="5" t="s">
        <v>26</v>
      </c>
      <c r="B29" s="9">
        <v>217</v>
      </c>
      <c r="C29" s="10">
        <v>0.46268656716417911</v>
      </c>
      <c r="D29" s="5" t="s">
        <v>819</v>
      </c>
      <c r="E29">
        <v>15</v>
      </c>
      <c r="L29" s="5" t="s">
        <v>819</v>
      </c>
      <c r="M29" s="2">
        <v>36.133333333333333</v>
      </c>
      <c r="Q29" s="5" t="s">
        <v>822</v>
      </c>
      <c r="R29" s="2">
        <v>4.2</v>
      </c>
    </row>
    <row r="30" spans="1:18" x14ac:dyDescent="0.3">
      <c r="A30" s="5" t="s">
        <v>41</v>
      </c>
      <c r="B30" s="9">
        <v>252</v>
      </c>
      <c r="C30" s="10">
        <v>0.53731343283582089</v>
      </c>
      <c r="D30" s="5" t="s">
        <v>820</v>
      </c>
      <c r="E30">
        <v>18</v>
      </c>
      <c r="L30" s="5" t="s">
        <v>820</v>
      </c>
      <c r="M30" s="2">
        <v>36.555555555555557</v>
      </c>
      <c r="Q30" s="5" t="s">
        <v>823</v>
      </c>
      <c r="R30" s="2">
        <v>2.5</v>
      </c>
    </row>
    <row r="31" spans="1:18" x14ac:dyDescent="0.3">
      <c r="A31" s="5" t="s">
        <v>4</v>
      </c>
      <c r="B31" s="9">
        <v>469</v>
      </c>
      <c r="C31" s="10">
        <v>1</v>
      </c>
      <c r="D31" s="5" t="s">
        <v>821</v>
      </c>
      <c r="E31">
        <v>19</v>
      </c>
      <c r="L31" s="5" t="s">
        <v>821</v>
      </c>
      <c r="M31" s="2">
        <v>39.210526315789473</v>
      </c>
      <c r="Q31" s="5" t="s">
        <v>824</v>
      </c>
      <c r="R31" s="2">
        <v>5</v>
      </c>
    </row>
    <row r="32" spans="1:18" x14ac:dyDescent="0.3">
      <c r="D32" s="5" t="s">
        <v>822</v>
      </c>
      <c r="E32">
        <v>16</v>
      </c>
      <c r="L32" s="5" t="s">
        <v>822</v>
      </c>
      <c r="M32" s="2">
        <v>31.1875</v>
      </c>
      <c r="Q32" s="5" t="s">
        <v>4</v>
      </c>
      <c r="R32" s="2">
        <v>4.6269841269841274</v>
      </c>
    </row>
    <row r="33" spans="1:13" x14ac:dyDescent="0.3">
      <c r="D33" s="5" t="s">
        <v>823</v>
      </c>
      <c r="E33">
        <v>13</v>
      </c>
      <c r="L33" s="5" t="s">
        <v>823</v>
      </c>
      <c r="M33" s="2">
        <v>35.153846153846153</v>
      </c>
    </row>
    <row r="34" spans="1:13" x14ac:dyDescent="0.3">
      <c r="D34" s="5" t="s">
        <v>824</v>
      </c>
      <c r="E34">
        <v>16</v>
      </c>
      <c r="L34" s="5" t="s">
        <v>824</v>
      </c>
      <c r="M34" s="2">
        <v>34.25</v>
      </c>
    </row>
    <row r="35" spans="1:13" x14ac:dyDescent="0.3">
      <c r="D35" s="5" t="s">
        <v>4</v>
      </c>
      <c r="E35">
        <v>469</v>
      </c>
      <c r="L35" s="5" t="s">
        <v>4</v>
      </c>
      <c r="M35" s="2">
        <v>35.044776119402982</v>
      </c>
    </row>
    <row r="38" spans="1:13" x14ac:dyDescent="0.3">
      <c r="A38" s="11" t="s">
        <v>89</v>
      </c>
      <c r="B38" s="11" t="s">
        <v>1</v>
      </c>
      <c r="C38" s="11" t="s">
        <v>90</v>
      </c>
      <c r="D38" s="11"/>
    </row>
    <row r="39" spans="1:13" x14ac:dyDescent="0.3">
      <c r="A39" s="12" t="str">
        <f>A30</f>
        <v>Not Admitted</v>
      </c>
      <c r="B39" s="12">
        <f>B30</f>
        <v>252</v>
      </c>
      <c r="C39" s="13">
        <f>C30</f>
        <v>0.53731343283582089</v>
      </c>
      <c r="D39" s="12"/>
    </row>
    <row r="40" spans="1:13" x14ac:dyDescent="0.3">
      <c r="A40" s="12" t="str">
        <f>A29</f>
        <v>Admitted</v>
      </c>
      <c r="B40" s="12">
        <f>B29</f>
        <v>217</v>
      </c>
      <c r="C40" s="13">
        <f>C29</f>
        <v>0.46268656716417911</v>
      </c>
      <c r="D40" s="12"/>
    </row>
    <row r="42" spans="1:13" x14ac:dyDescent="0.3">
      <c r="A42" t="s">
        <v>92</v>
      </c>
    </row>
    <row r="43" spans="1:13" x14ac:dyDescent="0.3">
      <c r="A43" s="1" t="s">
        <v>5</v>
      </c>
      <c r="B43" t="s">
        <v>91</v>
      </c>
    </row>
    <row r="44" spans="1:13" x14ac:dyDescent="0.3">
      <c r="A44" s="5" t="s">
        <v>52</v>
      </c>
      <c r="B44" s="9">
        <v>59</v>
      </c>
    </row>
    <row r="45" spans="1:13" x14ac:dyDescent="0.3">
      <c r="A45" s="5" t="s">
        <v>42</v>
      </c>
      <c r="B45" s="9">
        <v>57</v>
      </c>
    </row>
    <row r="46" spans="1:13" x14ac:dyDescent="0.3">
      <c r="A46" s="5" t="s">
        <v>46</v>
      </c>
      <c r="B46" s="9">
        <v>69</v>
      </c>
    </row>
    <row r="47" spans="1:13" x14ac:dyDescent="0.3">
      <c r="A47" s="5" t="s">
        <v>31</v>
      </c>
      <c r="B47" s="9">
        <v>62</v>
      </c>
    </row>
    <row r="48" spans="1:13" x14ac:dyDescent="0.3">
      <c r="A48" s="5" t="s">
        <v>27</v>
      </c>
      <c r="B48" s="9">
        <v>54</v>
      </c>
    </row>
    <row r="49" spans="1:2" x14ac:dyDescent="0.3">
      <c r="A49" s="5" t="s">
        <v>59</v>
      </c>
      <c r="B49" s="9">
        <v>57</v>
      </c>
    </row>
    <row r="50" spans="1:2" x14ac:dyDescent="0.3">
      <c r="A50" s="5" t="s">
        <v>36</v>
      </c>
      <c r="B50" s="9">
        <v>54</v>
      </c>
    </row>
    <row r="51" spans="1:2" x14ac:dyDescent="0.3">
      <c r="A51" s="5" t="s">
        <v>82</v>
      </c>
      <c r="B51" s="9">
        <v>57</v>
      </c>
    </row>
    <row r="52" spans="1:2" x14ac:dyDescent="0.3">
      <c r="A52" s="5" t="s">
        <v>4</v>
      </c>
      <c r="B52" s="9">
        <v>469</v>
      </c>
    </row>
    <row r="57" spans="1:2" x14ac:dyDescent="0.3">
      <c r="A57" s="1" t="s">
        <v>5</v>
      </c>
      <c r="B57" t="s">
        <v>87</v>
      </c>
    </row>
    <row r="58" spans="1:2" x14ac:dyDescent="0.3">
      <c r="A58" s="5" t="s">
        <v>32</v>
      </c>
      <c r="B58" s="9">
        <v>268</v>
      </c>
    </row>
    <row r="59" spans="1:2" x14ac:dyDescent="0.3">
      <c r="A59" s="5" t="s">
        <v>28</v>
      </c>
      <c r="B59" s="9">
        <v>201</v>
      </c>
    </row>
    <row r="60" spans="1:2" x14ac:dyDescent="0.3">
      <c r="A60" s="5" t="s">
        <v>4</v>
      </c>
      <c r="B60" s="9">
        <v>469</v>
      </c>
    </row>
    <row r="63" spans="1:2" x14ac:dyDescent="0.3">
      <c r="A63" s="1" t="s">
        <v>5</v>
      </c>
      <c r="B63" t="s">
        <v>792</v>
      </c>
    </row>
    <row r="64" spans="1:2" x14ac:dyDescent="0.3">
      <c r="A64" s="5" t="s">
        <v>23</v>
      </c>
      <c r="B64" s="9">
        <v>241</v>
      </c>
    </row>
    <row r="65" spans="1:2" x14ac:dyDescent="0.3">
      <c r="A65" s="5" t="s">
        <v>39</v>
      </c>
      <c r="B65" s="9">
        <v>228</v>
      </c>
    </row>
    <row r="66" spans="1:2" x14ac:dyDescent="0.3">
      <c r="A66" s="5" t="s">
        <v>4</v>
      </c>
      <c r="B66" s="9">
        <v>469</v>
      </c>
    </row>
    <row r="69" spans="1:2" x14ac:dyDescent="0.3">
      <c r="A69" s="1" t="s">
        <v>5</v>
      </c>
      <c r="B69" t="s">
        <v>793</v>
      </c>
    </row>
    <row r="70" spans="1:2" x14ac:dyDescent="0.3">
      <c r="A70" s="5" t="s">
        <v>198</v>
      </c>
      <c r="B70" s="9">
        <v>3</v>
      </c>
    </row>
    <row r="71" spans="1:2" x14ac:dyDescent="0.3">
      <c r="A71" s="5" t="s">
        <v>72</v>
      </c>
      <c r="B71" s="9">
        <v>8</v>
      </c>
    </row>
    <row r="72" spans="1:2" x14ac:dyDescent="0.3">
      <c r="A72" s="5" t="s">
        <v>636</v>
      </c>
      <c r="B72" s="9">
        <v>10</v>
      </c>
    </row>
    <row r="73" spans="1:2" x14ac:dyDescent="0.3">
      <c r="A73" s="5" t="s">
        <v>67</v>
      </c>
      <c r="B73" s="9">
        <v>13</v>
      </c>
    </row>
    <row r="74" spans="1:2" x14ac:dyDescent="0.3">
      <c r="A74" s="5" t="s">
        <v>62</v>
      </c>
      <c r="B74" s="9">
        <v>15</v>
      </c>
    </row>
    <row r="75" spans="1:2" x14ac:dyDescent="0.3">
      <c r="A75" s="5" t="s">
        <v>58</v>
      </c>
      <c r="B75" s="9">
        <v>44</v>
      </c>
    </row>
    <row r="76" spans="1:2" x14ac:dyDescent="0.3">
      <c r="A76" s="5" t="s">
        <v>51</v>
      </c>
      <c r="B76" s="9">
        <v>92</v>
      </c>
    </row>
    <row r="77" spans="1:2" x14ac:dyDescent="0.3">
      <c r="A77" s="5" t="s">
        <v>25</v>
      </c>
      <c r="B77" s="9">
        <v>284</v>
      </c>
    </row>
    <row r="78" spans="1:2" x14ac:dyDescent="0.3">
      <c r="A78" s="5" t="s">
        <v>4</v>
      </c>
      <c r="B78" s="9">
        <v>469</v>
      </c>
    </row>
    <row r="82" spans="1:1" x14ac:dyDescent="0.3">
      <c r="A82" s="1" t="s">
        <v>5</v>
      </c>
    </row>
    <row r="83" spans="1:1" x14ac:dyDescent="0.3">
      <c r="A83" s="5" t="s">
        <v>794</v>
      </c>
    </row>
    <row r="84" spans="1:1" x14ac:dyDescent="0.3">
      <c r="A84" s="5" t="s">
        <v>4</v>
      </c>
    </row>
  </sheetData>
  <pageMargins left="0.7" right="0.7" top="0.75" bottom="0.75" header="0.3" footer="0.3"/>
  <pageSetup orientation="portrait" r:id="rId13"/>
  <drawing r:id="rId1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C9529-2C90-4699-A0EA-D0DACA536777}">
  <dimension ref="A1:P33"/>
  <sheetViews>
    <sheetView topLeftCell="D1" zoomScale="125" zoomScaleNormal="125" workbookViewId="0"/>
  </sheetViews>
  <sheetFormatPr defaultRowHeight="14.4" x14ac:dyDescent="0.3"/>
  <sheetData>
    <row r="1" spans="1:16" x14ac:dyDescent="0.3">
      <c r="A1" s="3"/>
      <c r="B1" s="3"/>
      <c r="C1" s="3"/>
      <c r="D1" s="3"/>
      <c r="E1" s="3"/>
      <c r="F1" s="3"/>
      <c r="G1" s="3"/>
      <c r="H1" s="3"/>
      <c r="I1" s="3"/>
      <c r="J1" s="3"/>
      <c r="K1" s="3"/>
      <c r="L1" s="3"/>
      <c r="M1" s="3"/>
      <c r="N1" s="3"/>
      <c r="O1" s="3"/>
      <c r="P1" s="3"/>
    </row>
    <row r="2" spans="1:16" x14ac:dyDescent="0.3">
      <c r="A2" s="3"/>
      <c r="B2" s="3"/>
      <c r="C2" s="3"/>
      <c r="D2" s="3"/>
      <c r="E2" s="3"/>
      <c r="F2" s="3"/>
      <c r="G2" s="3"/>
      <c r="H2" s="3"/>
      <c r="I2" s="3"/>
      <c r="J2" s="3"/>
      <c r="K2" s="3"/>
      <c r="L2" s="3"/>
      <c r="M2" s="3"/>
      <c r="N2" s="3"/>
      <c r="O2" s="3"/>
      <c r="P2" s="3"/>
    </row>
    <row r="3" spans="1:16" x14ac:dyDescent="0.3">
      <c r="A3" s="3"/>
      <c r="B3" s="3"/>
      <c r="C3" s="3"/>
      <c r="D3" s="3"/>
      <c r="E3" s="3"/>
      <c r="F3" s="3"/>
      <c r="G3" s="3"/>
      <c r="H3" s="3"/>
      <c r="I3" s="3"/>
      <c r="J3" s="3"/>
      <c r="K3" s="3"/>
      <c r="L3" s="3"/>
      <c r="M3" s="3"/>
      <c r="N3" s="3"/>
      <c r="O3" s="3"/>
      <c r="P3" s="3"/>
    </row>
    <row r="4" spans="1:16" x14ac:dyDescent="0.3">
      <c r="A4" s="3"/>
      <c r="B4" s="3"/>
      <c r="C4" s="3"/>
      <c r="D4" s="3"/>
      <c r="E4" s="3"/>
      <c r="F4" s="3"/>
      <c r="G4" s="3"/>
      <c r="H4" s="3"/>
      <c r="I4" s="3"/>
      <c r="J4" s="3"/>
      <c r="K4" s="3"/>
      <c r="L4" s="3"/>
      <c r="M4" s="3"/>
      <c r="N4" s="3"/>
      <c r="O4" s="3"/>
      <c r="P4" s="3"/>
    </row>
    <row r="5" spans="1:16" x14ac:dyDescent="0.3">
      <c r="A5" s="3"/>
      <c r="B5" s="3"/>
      <c r="C5" s="3"/>
      <c r="D5" s="3"/>
      <c r="E5" s="3"/>
      <c r="F5" s="3"/>
      <c r="G5" s="3"/>
      <c r="H5" s="3"/>
      <c r="I5" s="3"/>
      <c r="J5" s="3"/>
      <c r="K5" s="3"/>
      <c r="L5" s="3"/>
      <c r="M5" s="3"/>
      <c r="N5" s="3"/>
      <c r="O5" s="3"/>
      <c r="P5" s="3"/>
    </row>
    <row r="6" spans="1:16" x14ac:dyDescent="0.3">
      <c r="A6" s="3"/>
      <c r="B6" s="3"/>
      <c r="C6" s="3"/>
      <c r="D6" s="3"/>
      <c r="E6" s="3"/>
      <c r="F6" s="3"/>
      <c r="G6" s="3"/>
      <c r="H6" s="3"/>
      <c r="I6" s="3"/>
      <c r="J6" s="3"/>
      <c r="K6" s="3"/>
      <c r="L6" s="3"/>
      <c r="M6" s="3"/>
      <c r="N6" s="3"/>
      <c r="O6" s="3"/>
      <c r="P6" s="3"/>
    </row>
    <row r="7" spans="1:16" x14ac:dyDescent="0.3">
      <c r="A7" s="3"/>
      <c r="B7" s="3"/>
      <c r="C7" s="3"/>
      <c r="D7" s="3"/>
      <c r="E7" s="3"/>
      <c r="F7" s="3"/>
      <c r="G7" s="3"/>
      <c r="H7" s="3"/>
      <c r="I7" s="3"/>
      <c r="J7" s="3"/>
      <c r="K7" s="3"/>
      <c r="L7" s="3"/>
      <c r="M7" s="3"/>
      <c r="N7" s="3"/>
      <c r="O7" s="3"/>
      <c r="P7" s="3"/>
    </row>
    <row r="8" spans="1:16" x14ac:dyDescent="0.3">
      <c r="A8" s="3"/>
      <c r="B8" s="3"/>
      <c r="C8" s="3"/>
      <c r="D8" s="3"/>
      <c r="E8" s="3"/>
      <c r="F8" s="3"/>
      <c r="G8" s="3"/>
      <c r="H8" s="3"/>
      <c r="I8" s="3"/>
      <c r="J8" s="3"/>
      <c r="K8" s="3"/>
      <c r="L8" s="3"/>
      <c r="M8" s="3"/>
      <c r="N8" s="3"/>
      <c r="O8" s="3"/>
      <c r="P8" s="3"/>
    </row>
    <row r="9" spans="1:16" x14ac:dyDescent="0.3">
      <c r="A9" s="3"/>
      <c r="B9" s="3"/>
      <c r="C9" s="3"/>
      <c r="D9" s="3"/>
      <c r="E9" s="3"/>
      <c r="F9" s="3"/>
      <c r="G9" s="3"/>
      <c r="H9" s="3"/>
      <c r="I9" s="3"/>
      <c r="J9" s="3"/>
      <c r="K9" s="3"/>
      <c r="L9" s="3"/>
      <c r="M9" s="3"/>
      <c r="N9" s="3"/>
      <c r="O9" s="3"/>
      <c r="P9" s="3"/>
    </row>
    <row r="10" spans="1:16" x14ac:dyDescent="0.3">
      <c r="A10" s="3"/>
      <c r="B10" s="3"/>
      <c r="C10" s="3"/>
      <c r="D10" s="3"/>
      <c r="E10" s="3"/>
      <c r="F10" s="3"/>
      <c r="G10" s="3"/>
      <c r="H10" s="3"/>
      <c r="I10" s="3"/>
      <c r="J10" s="3"/>
      <c r="K10" s="3"/>
      <c r="L10" s="3"/>
      <c r="M10" s="3"/>
      <c r="N10" s="3"/>
      <c r="O10" s="3"/>
      <c r="P10" s="3"/>
    </row>
    <row r="11" spans="1:16" x14ac:dyDescent="0.3">
      <c r="A11" s="3"/>
      <c r="B11" s="3"/>
      <c r="C11" s="3"/>
      <c r="D11" s="3"/>
      <c r="E11" s="3"/>
      <c r="F11" s="3"/>
      <c r="G11" s="3"/>
      <c r="H11" s="3"/>
      <c r="I11" s="3"/>
      <c r="J11" s="3"/>
      <c r="K11" s="3"/>
      <c r="L11" s="3"/>
      <c r="M11" s="3"/>
      <c r="N11" s="3"/>
      <c r="O11" s="3"/>
      <c r="P11" s="3"/>
    </row>
    <row r="12" spans="1:16" x14ac:dyDescent="0.3">
      <c r="A12" s="3"/>
      <c r="B12" s="3"/>
      <c r="C12" s="3"/>
      <c r="D12" s="3"/>
      <c r="E12" s="3"/>
      <c r="F12" s="3"/>
      <c r="G12" s="3"/>
      <c r="H12" s="3"/>
      <c r="I12" s="3"/>
      <c r="J12" s="3"/>
      <c r="K12" s="3"/>
      <c r="L12" s="3"/>
      <c r="M12" s="3"/>
      <c r="N12" s="3"/>
      <c r="O12" s="3"/>
      <c r="P12" s="3"/>
    </row>
    <row r="13" spans="1:16" x14ac:dyDescent="0.3">
      <c r="A13" s="3"/>
      <c r="B13" s="3"/>
      <c r="C13" s="3"/>
      <c r="D13" s="3"/>
      <c r="E13" s="3"/>
      <c r="F13" s="3"/>
      <c r="G13" s="3"/>
      <c r="H13" s="3"/>
      <c r="I13" s="3"/>
      <c r="J13" s="3"/>
      <c r="K13" s="3"/>
      <c r="L13" s="3"/>
      <c r="M13" s="3"/>
      <c r="N13" s="3"/>
      <c r="O13" s="3"/>
      <c r="P13" s="3"/>
    </row>
    <row r="14" spans="1:16" x14ac:dyDescent="0.3">
      <c r="A14" s="3"/>
      <c r="B14" s="3"/>
      <c r="C14" s="3"/>
      <c r="D14" s="3"/>
      <c r="E14" s="3"/>
      <c r="F14" s="3"/>
      <c r="G14" s="3"/>
      <c r="H14" s="3"/>
      <c r="I14" s="3"/>
      <c r="J14" s="3"/>
      <c r="K14" s="3"/>
      <c r="L14" s="3"/>
      <c r="M14" s="3"/>
      <c r="N14" s="3"/>
      <c r="O14" s="3"/>
      <c r="P14" s="3"/>
    </row>
    <row r="15" spans="1:16" x14ac:dyDescent="0.3">
      <c r="A15" s="3"/>
      <c r="B15" s="3"/>
      <c r="C15" s="3"/>
      <c r="D15" s="3"/>
      <c r="E15" s="3"/>
      <c r="F15" s="3"/>
      <c r="G15" s="3"/>
      <c r="H15" s="3"/>
      <c r="I15" s="3"/>
      <c r="J15" s="3"/>
      <c r="K15" s="3"/>
      <c r="L15" s="3"/>
      <c r="M15" s="3"/>
      <c r="N15" s="3"/>
      <c r="O15" s="3"/>
      <c r="P15" s="3"/>
    </row>
    <row r="16" spans="1:16" x14ac:dyDescent="0.3">
      <c r="A16" s="3"/>
      <c r="B16" s="3"/>
      <c r="C16" s="3"/>
      <c r="D16" s="3"/>
      <c r="E16" s="3"/>
      <c r="F16" s="3"/>
      <c r="G16" s="3"/>
      <c r="H16" s="3"/>
      <c r="I16" s="3"/>
      <c r="J16" s="3"/>
      <c r="K16" s="3"/>
      <c r="L16" s="3"/>
      <c r="M16" s="3"/>
      <c r="N16" s="3"/>
      <c r="O16" s="3"/>
      <c r="P16" s="3"/>
    </row>
    <row r="17" spans="1:16" x14ac:dyDescent="0.3">
      <c r="A17" s="3"/>
      <c r="B17" s="3"/>
      <c r="C17" s="3"/>
      <c r="D17" s="3"/>
      <c r="E17" s="3"/>
      <c r="F17" s="3"/>
      <c r="G17" s="3"/>
      <c r="H17" s="3"/>
      <c r="I17" s="3"/>
      <c r="J17" s="3"/>
      <c r="K17" s="3"/>
      <c r="L17" s="3"/>
      <c r="M17" s="3"/>
      <c r="N17" s="3"/>
      <c r="O17" s="3"/>
      <c r="P17" s="3"/>
    </row>
    <row r="18" spans="1:16" x14ac:dyDescent="0.3">
      <c r="A18" s="3"/>
      <c r="B18" s="3"/>
      <c r="C18" s="3"/>
      <c r="D18" s="3"/>
      <c r="E18" s="3"/>
      <c r="F18" s="3"/>
      <c r="G18" s="3"/>
      <c r="H18" s="3"/>
      <c r="I18" s="3"/>
      <c r="J18" s="3"/>
      <c r="K18" s="3"/>
      <c r="L18" s="3"/>
      <c r="M18" s="3"/>
      <c r="N18" s="3"/>
      <c r="O18" s="3"/>
      <c r="P18" s="3"/>
    </row>
    <row r="19" spans="1:16" x14ac:dyDescent="0.3">
      <c r="A19" s="3"/>
      <c r="B19" s="3"/>
      <c r="C19" s="3"/>
      <c r="D19" s="3"/>
      <c r="E19" s="3"/>
      <c r="F19" s="3"/>
      <c r="G19" s="3"/>
      <c r="H19" s="3"/>
      <c r="I19" s="3"/>
      <c r="J19" s="3"/>
      <c r="K19" s="3"/>
      <c r="L19" s="3"/>
      <c r="M19" s="3"/>
      <c r="N19" s="3"/>
      <c r="O19" s="3"/>
      <c r="P19" s="3"/>
    </row>
    <row r="20" spans="1:16" x14ac:dyDescent="0.3">
      <c r="A20" s="3"/>
      <c r="B20" s="3"/>
      <c r="C20" s="3"/>
      <c r="D20" s="3"/>
      <c r="E20" s="3"/>
      <c r="F20" s="3"/>
      <c r="G20" s="3"/>
      <c r="H20" s="3"/>
      <c r="I20" s="3"/>
      <c r="J20" s="3"/>
      <c r="K20" s="3"/>
      <c r="L20" s="3"/>
      <c r="M20" s="3"/>
      <c r="N20" s="3"/>
      <c r="O20" s="3"/>
      <c r="P20" s="3"/>
    </row>
    <row r="21" spans="1:16" x14ac:dyDescent="0.3">
      <c r="A21" s="3"/>
      <c r="B21" s="3"/>
      <c r="C21" s="3"/>
      <c r="D21" s="3"/>
      <c r="E21" s="3"/>
      <c r="F21" s="3"/>
      <c r="G21" s="3"/>
      <c r="H21" s="3"/>
      <c r="I21" s="3"/>
      <c r="J21" s="3"/>
      <c r="K21" s="3"/>
      <c r="L21" s="3"/>
      <c r="M21" s="3"/>
      <c r="N21" s="3"/>
      <c r="O21" s="3"/>
      <c r="P21" s="3"/>
    </row>
    <row r="22" spans="1:16" x14ac:dyDescent="0.3">
      <c r="A22" s="3"/>
      <c r="B22" s="3"/>
      <c r="C22" s="3"/>
      <c r="D22" s="3"/>
      <c r="E22" s="3"/>
      <c r="F22" s="3"/>
      <c r="G22" s="3"/>
      <c r="H22" s="3"/>
      <c r="I22" s="3"/>
      <c r="J22" s="3"/>
      <c r="K22" s="3"/>
      <c r="L22" s="3"/>
      <c r="M22" s="3"/>
      <c r="N22" s="3"/>
      <c r="O22" s="3"/>
      <c r="P22" s="3"/>
    </row>
    <row r="23" spans="1:16" x14ac:dyDescent="0.3">
      <c r="A23" s="3"/>
      <c r="B23" s="3"/>
      <c r="C23" s="3"/>
      <c r="D23" s="3"/>
      <c r="E23" s="3"/>
      <c r="F23" s="3"/>
      <c r="G23" s="3"/>
      <c r="H23" s="3"/>
      <c r="I23" s="3"/>
      <c r="J23" s="3"/>
      <c r="K23" s="3"/>
      <c r="L23" s="3"/>
      <c r="M23" s="3"/>
      <c r="N23" s="3"/>
      <c r="O23" s="3"/>
      <c r="P23" s="3"/>
    </row>
    <row r="24" spans="1:16" x14ac:dyDescent="0.3">
      <c r="A24" s="3"/>
      <c r="B24" s="3"/>
      <c r="C24" s="3"/>
      <c r="D24" s="3"/>
      <c r="E24" s="3"/>
      <c r="F24" s="3"/>
      <c r="G24" s="3"/>
      <c r="H24" s="3"/>
      <c r="I24" s="3"/>
      <c r="J24" s="3"/>
      <c r="K24" s="3"/>
      <c r="L24" s="3"/>
      <c r="M24" s="3"/>
      <c r="N24" s="3"/>
      <c r="O24" s="3"/>
      <c r="P24" s="3"/>
    </row>
    <row r="25" spans="1:16" x14ac:dyDescent="0.3">
      <c r="A25" s="3"/>
      <c r="B25" s="3"/>
      <c r="C25" s="3"/>
      <c r="D25" s="3"/>
      <c r="E25" s="3"/>
      <c r="F25" s="3"/>
      <c r="G25" s="3"/>
      <c r="H25" s="3"/>
      <c r="I25" s="3"/>
      <c r="J25" s="3"/>
      <c r="K25" s="3"/>
      <c r="L25" s="3"/>
      <c r="M25" s="3"/>
      <c r="N25" s="3"/>
      <c r="O25" s="3"/>
      <c r="P25" s="3"/>
    </row>
    <row r="26" spans="1:16" x14ac:dyDescent="0.3">
      <c r="A26" s="3"/>
      <c r="B26" s="3"/>
      <c r="C26" s="3"/>
      <c r="D26" s="3"/>
      <c r="E26" s="3"/>
      <c r="F26" s="3"/>
      <c r="G26" s="3"/>
      <c r="H26" s="3"/>
      <c r="I26" s="3"/>
      <c r="J26" s="3"/>
      <c r="K26" s="3"/>
      <c r="L26" s="3"/>
      <c r="M26" s="3"/>
      <c r="N26" s="3"/>
      <c r="O26" s="3"/>
      <c r="P26" s="3"/>
    </row>
    <row r="27" spans="1:16" x14ac:dyDescent="0.3">
      <c r="A27" s="3"/>
      <c r="B27" s="3"/>
      <c r="C27" s="3"/>
      <c r="D27" s="3"/>
      <c r="E27" s="3"/>
      <c r="F27" s="3"/>
      <c r="G27" s="3"/>
      <c r="H27" s="3"/>
      <c r="I27" s="3"/>
      <c r="J27" s="3"/>
      <c r="K27" s="3"/>
      <c r="L27" s="3"/>
      <c r="M27" s="3"/>
      <c r="N27" s="3"/>
      <c r="O27" s="3"/>
      <c r="P27" s="3"/>
    </row>
    <row r="28" spans="1:16" x14ac:dyDescent="0.3">
      <c r="A28" s="3"/>
      <c r="B28" s="3"/>
      <c r="C28" s="3"/>
      <c r="D28" s="3"/>
      <c r="E28" s="3"/>
      <c r="F28" s="3"/>
      <c r="G28" s="3"/>
      <c r="H28" s="3"/>
      <c r="I28" s="3"/>
      <c r="J28" s="3"/>
      <c r="K28" s="3"/>
      <c r="L28" s="3"/>
      <c r="M28" s="3"/>
      <c r="O28" s="3"/>
      <c r="P28" s="3"/>
    </row>
    <row r="29" spans="1:16" x14ac:dyDescent="0.3">
      <c r="A29" s="3"/>
      <c r="B29" s="3"/>
      <c r="C29" s="3"/>
      <c r="D29" s="3"/>
      <c r="E29" s="3"/>
      <c r="F29" s="3"/>
      <c r="G29" s="3"/>
      <c r="H29" s="3"/>
      <c r="I29" s="3"/>
      <c r="J29" s="3"/>
      <c r="K29" s="3"/>
      <c r="L29" s="3"/>
      <c r="M29" s="3"/>
      <c r="N29" s="3"/>
      <c r="O29" s="3"/>
      <c r="P29" s="3"/>
    </row>
    <row r="30" spans="1:16" x14ac:dyDescent="0.3">
      <c r="A30" s="3"/>
      <c r="B30" s="3"/>
      <c r="C30" s="3"/>
      <c r="D30" s="3"/>
      <c r="E30" s="3"/>
      <c r="F30" s="3"/>
      <c r="G30" s="3"/>
      <c r="H30" s="3"/>
      <c r="I30" s="3"/>
      <c r="J30" s="3"/>
      <c r="K30" s="3"/>
      <c r="L30" s="3"/>
      <c r="M30" s="3"/>
      <c r="N30" s="3"/>
      <c r="O30" s="3"/>
      <c r="P30" s="3"/>
    </row>
    <row r="31" spans="1:16" x14ac:dyDescent="0.3">
      <c r="A31" s="3"/>
      <c r="B31" s="3"/>
      <c r="C31" s="3"/>
      <c r="D31" s="3"/>
      <c r="E31" s="3"/>
      <c r="F31" s="3"/>
      <c r="G31" s="3"/>
      <c r="H31" s="3"/>
      <c r="I31" s="3"/>
      <c r="J31" s="3"/>
      <c r="K31" s="3"/>
      <c r="L31" s="3"/>
      <c r="M31" s="3"/>
      <c r="N31" s="3"/>
      <c r="O31" s="3"/>
      <c r="P31" s="3"/>
    </row>
    <row r="32" spans="1:16" x14ac:dyDescent="0.3">
      <c r="A32" s="3"/>
      <c r="B32" s="3"/>
      <c r="C32" s="3"/>
      <c r="D32" s="3"/>
      <c r="E32" s="3"/>
      <c r="F32" s="3"/>
      <c r="G32" s="3"/>
      <c r="H32" s="3"/>
      <c r="I32" s="3"/>
      <c r="J32" s="3"/>
      <c r="K32" s="3"/>
      <c r="L32" s="3"/>
      <c r="M32" s="3"/>
      <c r="N32" s="3"/>
      <c r="O32" s="3"/>
      <c r="P32" s="3"/>
    </row>
    <row r="33" spans="1:16" x14ac:dyDescent="0.3">
      <c r="A33" s="3"/>
      <c r="B33" s="3"/>
      <c r="C33" s="3"/>
      <c r="D33" s="3"/>
      <c r="E33" s="3"/>
      <c r="F33" s="3"/>
      <c r="G33" s="3"/>
      <c r="H33" s="3"/>
      <c r="I33" s="3"/>
      <c r="J33" s="3"/>
      <c r="K33" s="3"/>
      <c r="L33" s="3"/>
      <c r="M33" s="3"/>
      <c r="N33" s="3"/>
      <c r="O33" s="3"/>
      <c r="P33"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BE50-6B1A-4A3C-9AD4-DFD7E4BE9838}">
  <dimension ref="A1"/>
  <sheetViews>
    <sheetView zoomScale="68"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FB452-1F93-47BA-A556-D4A43E5E3D40}">
  <dimension ref="A1"/>
  <sheetViews>
    <sheetView workbookViewId="0"/>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20D3B-915D-4076-B4D6-39058F48C0A6}">
  <dimension ref="A1:L24"/>
  <sheetViews>
    <sheetView workbookViewId="0"/>
  </sheetViews>
  <sheetFormatPr defaultRowHeight="14.4" x14ac:dyDescent="0.3"/>
  <sheetData>
    <row r="1" spans="1:12" x14ac:dyDescent="0.3">
      <c r="A1" s="8"/>
      <c r="B1" s="8"/>
      <c r="C1" s="8"/>
      <c r="D1" s="8"/>
      <c r="E1" s="8"/>
      <c r="F1" s="8"/>
      <c r="G1" s="8"/>
      <c r="H1" s="8"/>
      <c r="I1" s="8"/>
      <c r="J1" s="8"/>
      <c r="K1" s="8"/>
      <c r="L1" s="8"/>
    </row>
    <row r="2" spans="1:12" x14ac:dyDescent="0.3">
      <c r="A2" s="8"/>
      <c r="B2" s="8"/>
      <c r="C2" s="8"/>
      <c r="D2" s="8"/>
      <c r="E2" s="8"/>
      <c r="F2" s="8"/>
      <c r="G2" s="8"/>
      <c r="H2" s="8"/>
      <c r="I2" s="8"/>
      <c r="J2" s="8"/>
      <c r="K2" s="8"/>
      <c r="L2" s="8"/>
    </row>
    <row r="3" spans="1:12" x14ac:dyDescent="0.3">
      <c r="A3" s="8"/>
      <c r="B3" s="8"/>
      <c r="C3" s="8"/>
      <c r="D3" s="8"/>
      <c r="E3" s="8"/>
      <c r="F3" s="8"/>
      <c r="G3" s="8"/>
      <c r="H3" s="8"/>
      <c r="I3" s="8"/>
      <c r="J3" s="8"/>
      <c r="K3" s="8"/>
      <c r="L3" s="8"/>
    </row>
    <row r="4" spans="1:12" x14ac:dyDescent="0.3">
      <c r="A4" s="8"/>
      <c r="B4" s="8"/>
      <c r="C4" s="8"/>
      <c r="D4" s="8"/>
      <c r="E4" s="8"/>
      <c r="F4" s="8"/>
      <c r="G4" s="8"/>
      <c r="H4" s="8"/>
      <c r="I4" s="8"/>
      <c r="J4" s="8"/>
      <c r="K4" s="8"/>
      <c r="L4" s="8"/>
    </row>
    <row r="5" spans="1:12" x14ac:dyDescent="0.3">
      <c r="A5" s="8"/>
      <c r="B5" s="8"/>
      <c r="C5" s="8"/>
      <c r="D5" s="8"/>
      <c r="E5" s="8"/>
      <c r="F5" s="8"/>
      <c r="G5" s="8"/>
      <c r="H5" s="8"/>
      <c r="I5" s="8"/>
      <c r="J5" s="8"/>
      <c r="K5" s="8"/>
      <c r="L5" s="8"/>
    </row>
    <row r="6" spans="1:12" x14ac:dyDescent="0.3">
      <c r="A6" s="8"/>
      <c r="B6" s="8"/>
      <c r="C6" s="8"/>
      <c r="D6" s="8"/>
      <c r="E6" s="8"/>
      <c r="F6" s="8"/>
      <c r="G6" s="8"/>
      <c r="H6" s="8"/>
      <c r="I6" s="8"/>
      <c r="J6" s="8"/>
      <c r="K6" s="8"/>
      <c r="L6" s="8"/>
    </row>
    <row r="7" spans="1:12" x14ac:dyDescent="0.3">
      <c r="A7" s="8"/>
      <c r="B7" s="8"/>
      <c r="C7" s="8"/>
      <c r="D7" s="8"/>
      <c r="E7" s="8"/>
      <c r="F7" s="8"/>
      <c r="G7" s="8"/>
      <c r="H7" s="8"/>
      <c r="I7" s="8"/>
      <c r="J7" s="8"/>
      <c r="K7" s="8"/>
      <c r="L7" s="8"/>
    </row>
    <row r="8" spans="1:12" x14ac:dyDescent="0.3">
      <c r="A8" s="8"/>
      <c r="B8" s="8"/>
      <c r="C8" s="8"/>
      <c r="D8" s="8"/>
      <c r="E8" s="8"/>
      <c r="F8" s="8"/>
      <c r="G8" s="8"/>
      <c r="H8" s="8"/>
      <c r="I8" s="8"/>
      <c r="J8" s="8"/>
      <c r="K8" s="8"/>
      <c r="L8" s="8"/>
    </row>
    <row r="9" spans="1:12" x14ac:dyDescent="0.3">
      <c r="A9" s="8"/>
      <c r="B9" s="8"/>
      <c r="C9" s="8"/>
      <c r="D9" s="8"/>
      <c r="E9" s="8"/>
      <c r="F9" s="8"/>
      <c r="G9" s="8"/>
      <c r="H9" s="8"/>
      <c r="I9" s="8"/>
      <c r="J9" s="8"/>
      <c r="K9" s="8"/>
      <c r="L9" s="8"/>
    </row>
    <row r="10" spans="1:12" x14ac:dyDescent="0.3">
      <c r="A10" s="8"/>
      <c r="B10" s="8"/>
      <c r="C10" s="8"/>
      <c r="D10" s="8"/>
      <c r="E10" s="8"/>
      <c r="F10" s="8"/>
      <c r="G10" s="8"/>
      <c r="H10" s="8"/>
      <c r="I10" s="8"/>
      <c r="J10" s="8"/>
      <c r="K10" s="8"/>
      <c r="L10" s="8"/>
    </row>
    <row r="11" spans="1:12" x14ac:dyDescent="0.3">
      <c r="A11" s="8"/>
      <c r="B11" s="8"/>
      <c r="C11" s="8"/>
      <c r="D11" s="8"/>
      <c r="E11" s="8"/>
      <c r="F11" s="8"/>
      <c r="G11" s="8"/>
      <c r="H11" s="8"/>
      <c r="I11" s="8"/>
      <c r="J11" s="8"/>
      <c r="K11" s="8"/>
      <c r="L11" s="8"/>
    </row>
    <row r="12" spans="1:12" x14ac:dyDescent="0.3">
      <c r="A12" s="8"/>
      <c r="B12" s="8"/>
      <c r="C12" s="8"/>
      <c r="D12" s="8"/>
      <c r="E12" s="8"/>
      <c r="F12" s="8"/>
      <c r="G12" s="8"/>
      <c r="H12" s="8"/>
      <c r="I12" s="8"/>
      <c r="J12" s="8"/>
      <c r="K12" s="8"/>
      <c r="L12" s="8"/>
    </row>
    <row r="13" spans="1:12" x14ac:dyDescent="0.3">
      <c r="A13" s="8"/>
      <c r="B13" s="8"/>
      <c r="C13" s="8"/>
      <c r="D13" s="8"/>
      <c r="E13" s="8"/>
      <c r="F13" s="8"/>
      <c r="G13" s="8"/>
      <c r="H13" s="8"/>
      <c r="I13" s="8"/>
      <c r="J13" s="8"/>
      <c r="K13" s="8"/>
      <c r="L13" s="8"/>
    </row>
    <row r="14" spans="1:12" x14ac:dyDescent="0.3">
      <c r="A14" s="8"/>
      <c r="B14" s="8"/>
      <c r="C14" s="8"/>
      <c r="D14" s="8"/>
      <c r="E14" s="8"/>
      <c r="F14" s="8"/>
      <c r="G14" s="8"/>
      <c r="H14" s="8"/>
      <c r="I14" s="8"/>
      <c r="J14" s="8"/>
      <c r="K14" s="8"/>
      <c r="L14" s="8"/>
    </row>
    <row r="15" spans="1:12" x14ac:dyDescent="0.3">
      <c r="A15" s="8"/>
      <c r="B15" s="8"/>
      <c r="C15" s="8"/>
      <c r="D15" s="8"/>
      <c r="E15" s="8"/>
      <c r="F15" s="8"/>
      <c r="G15" s="8"/>
      <c r="H15" s="8"/>
      <c r="I15" s="8"/>
      <c r="J15" s="8"/>
      <c r="K15" s="8"/>
      <c r="L15" s="8"/>
    </row>
    <row r="16" spans="1:12" x14ac:dyDescent="0.3">
      <c r="A16" s="8"/>
      <c r="B16" s="8"/>
      <c r="C16" s="8"/>
      <c r="D16" s="8"/>
      <c r="E16" s="8"/>
      <c r="F16" s="8"/>
      <c r="G16" s="8"/>
      <c r="H16" s="8"/>
      <c r="I16" s="8"/>
      <c r="J16" s="8"/>
      <c r="K16" s="8"/>
      <c r="L16" s="8"/>
    </row>
    <row r="17" spans="1:12" x14ac:dyDescent="0.3">
      <c r="A17" s="8"/>
      <c r="B17" s="8"/>
      <c r="C17" s="8"/>
      <c r="D17" s="8"/>
      <c r="E17" s="8"/>
      <c r="F17" s="8"/>
      <c r="G17" s="8"/>
      <c r="H17" s="8"/>
      <c r="I17" s="8"/>
      <c r="J17" s="8"/>
      <c r="K17" s="8"/>
      <c r="L17" s="8"/>
    </row>
    <row r="18" spans="1:12" x14ac:dyDescent="0.3">
      <c r="A18" s="8"/>
      <c r="B18" s="8"/>
      <c r="C18" s="8"/>
      <c r="D18" s="8"/>
      <c r="E18" s="8"/>
      <c r="F18" s="8"/>
      <c r="G18" s="8"/>
      <c r="H18" s="8"/>
      <c r="I18" s="8"/>
      <c r="J18" s="8"/>
      <c r="K18" s="8"/>
      <c r="L18" s="8"/>
    </row>
    <row r="19" spans="1:12" x14ac:dyDescent="0.3">
      <c r="A19" s="8"/>
      <c r="B19" s="8"/>
      <c r="C19" s="8"/>
      <c r="D19" s="8"/>
      <c r="E19" s="8"/>
      <c r="F19" s="8"/>
      <c r="G19" s="8"/>
      <c r="H19" s="8"/>
      <c r="I19" s="8"/>
      <c r="J19" s="8"/>
      <c r="K19" s="8"/>
      <c r="L19" s="8"/>
    </row>
    <row r="20" spans="1:12" x14ac:dyDescent="0.3">
      <c r="A20" s="8"/>
      <c r="B20" s="8"/>
      <c r="C20" s="8"/>
      <c r="D20" s="8"/>
      <c r="E20" s="8"/>
      <c r="F20" s="8"/>
      <c r="G20" s="8"/>
      <c r="H20" s="8"/>
      <c r="I20" s="8"/>
      <c r="J20" s="8"/>
      <c r="K20" s="8"/>
      <c r="L20" s="8"/>
    </row>
    <row r="21" spans="1:12" x14ac:dyDescent="0.3">
      <c r="A21" s="8"/>
      <c r="B21" s="8"/>
      <c r="C21" s="8"/>
      <c r="D21" s="8"/>
      <c r="E21" s="8"/>
      <c r="F21" s="8"/>
      <c r="G21" s="8"/>
      <c r="H21" s="8"/>
      <c r="I21" s="8"/>
      <c r="J21" s="8"/>
      <c r="K21" s="8"/>
      <c r="L21" s="8"/>
    </row>
    <row r="22" spans="1:12" x14ac:dyDescent="0.3">
      <c r="A22" s="8"/>
      <c r="B22" s="8"/>
      <c r="C22" s="8"/>
      <c r="D22" s="8"/>
      <c r="E22" s="8"/>
      <c r="F22" s="8"/>
      <c r="G22" s="8"/>
      <c r="H22" s="8"/>
      <c r="I22" s="8"/>
      <c r="J22" s="8"/>
      <c r="K22" s="8"/>
      <c r="L22" s="8"/>
    </row>
    <row r="23" spans="1:12" x14ac:dyDescent="0.3">
      <c r="A23" s="8"/>
      <c r="B23" s="8"/>
      <c r="C23" s="8"/>
      <c r="D23" s="8"/>
      <c r="E23" s="8"/>
      <c r="F23" s="8"/>
      <c r="G23" s="8"/>
      <c r="H23" s="8"/>
      <c r="I23" s="8"/>
      <c r="J23" s="8"/>
      <c r="K23" s="8"/>
      <c r="L23" s="8"/>
    </row>
    <row r="24" spans="1:12" x14ac:dyDescent="0.3">
      <c r="A24" s="8"/>
      <c r="B24" s="8"/>
      <c r="C24" s="8"/>
      <c r="D24" s="8"/>
      <c r="E24" s="8"/>
      <c r="F24" s="8"/>
      <c r="G24" s="8"/>
      <c r="H24" s="8"/>
      <c r="I24" s="8"/>
      <c r="J24" s="8"/>
      <c r="K24" s="8"/>
      <c r="L24"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35B7153F-916F-4070-B1F0-22DB0E68AB8A}">
  <ds:schemaRefs/>
</ds:datastoreItem>
</file>

<file path=customXml/itemProps2.xml><?xml version="1.0" encoding="utf-8"?>
<ds:datastoreItem xmlns:ds="http://schemas.openxmlformats.org/officeDocument/2006/customXml" ds:itemID="{4451E157-62A4-454D-A571-A3FF9A7842A0}">
  <ds:schemaRefs>
    <ds:schemaRef ds:uri="http://schemas.microsoft.com/DataMashup"/>
  </ds:schemaRefs>
</ds:datastoreItem>
</file>

<file path=customXml/itemProps3.xml><?xml version="1.0" encoding="utf-8"?>
<ds:datastoreItem xmlns:ds="http://schemas.openxmlformats.org/officeDocument/2006/customXml" ds:itemID="{59B8E1DD-3AB0-45DA-96CA-7DC622600442}">
  <ds:schemaRefs/>
</ds:datastoreItem>
</file>

<file path=customXml/itemProps4.xml><?xml version="1.0" encoding="utf-8"?>
<ds:datastoreItem xmlns:ds="http://schemas.openxmlformats.org/officeDocument/2006/customXml" ds:itemID="{48A55CCD-578A-4731-879E-9A52AF327CD0}">
  <ds:schemaRefs/>
</ds:datastoreItem>
</file>

<file path=customXml/itemProps5.xml><?xml version="1.0" encoding="utf-8"?>
<ds:datastoreItem xmlns:ds="http://schemas.openxmlformats.org/officeDocument/2006/customXml" ds:itemID="{011AC94B-7B7D-4078-AF89-D4AB50F78F31}">
  <ds:schemaRefs/>
</ds:datastoreItem>
</file>

<file path=customXml/itemProps6.xml><?xml version="1.0" encoding="utf-8"?>
<ds:datastoreItem xmlns:ds="http://schemas.openxmlformats.org/officeDocument/2006/customXml" ds:itemID="{81FF340E-8B41-46C1-A720-FACD7DD68B37}">
  <ds:schemaRefs/>
</ds:datastoreItem>
</file>

<file path=customXml/itemProps7.xml><?xml version="1.0" encoding="utf-8"?>
<ds:datastoreItem xmlns:ds="http://schemas.openxmlformats.org/officeDocument/2006/customXml" ds:itemID="{332DE139-EB98-443C-AC31-29B3D09F4491}">
  <ds:schemaRefs/>
</ds:datastoreItem>
</file>

<file path=customXml/itemProps8.xml><?xml version="1.0" encoding="utf-8"?>
<ds:datastoreItem xmlns:ds="http://schemas.openxmlformats.org/officeDocument/2006/customXml" ds:itemID="{A30FAA8E-901C-4379-B69D-39394FDF232B}">
  <ds:schemaRefs/>
</ds:datastoreItem>
</file>

<file path=customXml/itemProps9.xml><?xml version="1.0" encoding="utf-8"?>
<ds:datastoreItem xmlns:ds="http://schemas.openxmlformats.org/officeDocument/2006/customXml" ds:itemID="{8EBA6DE2-A069-417D-BEF3-CEDEEFD177AE}">
  <ds:schemaRefs/>
</ds:datastoreItem>
</file>

<file path=customXml/itemProps10.xml><?xml version="1.0" encoding="utf-8"?>
<ds:datastoreItem xmlns:ds="http://schemas.openxmlformats.org/officeDocument/2006/customXml" ds:itemID="{33D133D1-68A6-4D0B-86FF-40FCE0F915C1}">
  <ds:schemaRefs/>
</ds:datastoreItem>
</file>

<file path=customXml/itemProps11.xml><?xml version="1.0" encoding="utf-8"?>
<ds:datastoreItem xmlns:ds="http://schemas.openxmlformats.org/officeDocument/2006/customXml" ds:itemID="{F11E58A6-7103-49E0-B26E-5A0FB98307C7}">
  <ds:schemaRefs/>
</ds:datastoreItem>
</file>

<file path=customXml/itemProps12.xml><?xml version="1.0" encoding="utf-8"?>
<ds:datastoreItem xmlns:ds="http://schemas.openxmlformats.org/officeDocument/2006/customXml" ds:itemID="{E3284A23-0D3D-437F-814A-D018EEA71365}">
  <ds:schemaRefs/>
</ds:datastoreItem>
</file>

<file path=customXml/itemProps13.xml><?xml version="1.0" encoding="utf-8"?>
<ds:datastoreItem xmlns:ds="http://schemas.openxmlformats.org/officeDocument/2006/customXml" ds:itemID="{F7EF1722-11D7-4608-8C7D-56F0F86141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Sheet4</vt:lpstr>
      <vt:lpstr>Sheet5</vt:lpstr>
      <vt:lpstr>Sheet6</vt:lpstr>
      <vt:lpstr>Pivot report</vt:lpstr>
      <vt:lpstr>Dashboard</vt:lpstr>
      <vt:lpstr>Average wait time daily trend</vt:lpstr>
      <vt:lpstr>Daily ER No.of patients</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MYNAMPATI KEERTHI</dc:creator>
  <cp:lastModifiedBy>MYNAMPATI KEERTHI</cp:lastModifiedBy>
  <cp:lastPrinted>2025-12-14T07:45:44Z</cp:lastPrinted>
  <dcterms:created xsi:type="dcterms:W3CDTF">2025-12-12T12:29:22Z</dcterms:created>
  <dcterms:modified xsi:type="dcterms:W3CDTF">2026-06-01T15:05:11Z</dcterms:modified>
</cp:coreProperties>
</file>